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04FC2074-9874-484B-BC80-1E0CADBBDF90}" xr6:coauthVersionLast="47" xr6:coauthVersionMax="47" xr10:uidLastSave="{00000000-0000-0000-0000-000000000000}"/>
  <bookViews>
    <workbookView xWindow="-105" yWindow="0" windowWidth="26010" windowHeight="20985" xr2:uid="{00000000-000D-0000-FFFF-FFFF00000000}"/>
  </bookViews>
  <sheets>
    <sheet name="Summary" sheetId="4" r:id="rId1"/>
    <sheet name="Standard 2026" sheetId="5" r:id="rId2"/>
    <sheet name="Premium 2026" sheetId="6" r:id="rId3"/>
    <sheet name="Standard 2025" sheetId="1" state="hidden" r:id="rId4"/>
    <sheet name="Premium 2025" sheetId="2" state="hidden" r:id="rId5"/>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17" i="4" l="1"/>
  <c r="N17" i="4"/>
  <c r="L17" i="4"/>
  <c r="L16" i="4"/>
  <c r="J17" i="4"/>
  <c r="K17" i="4"/>
  <c r="J16" i="4"/>
  <c r="K16" i="4"/>
  <c r="N16" i="4" s="1"/>
  <c r="N17" i="6"/>
  <c r="N17" i="5"/>
  <c r="C17" i="4"/>
  <c r="D17" i="4"/>
  <c r="F17" i="4"/>
  <c r="F16" i="4"/>
  <c r="D16" i="4"/>
  <c r="C16" i="4"/>
  <c r="M16" i="4"/>
  <c r="I16" i="4"/>
  <c r="H16" i="4"/>
  <c r="N16" i="6"/>
  <c r="N16" i="5"/>
  <c r="N13" i="4"/>
  <c r="N14" i="4"/>
  <c r="N15" i="4"/>
  <c r="N12" i="4"/>
  <c r="M13" i="4"/>
  <c r="M14" i="4"/>
  <c r="M15" i="4"/>
  <c r="M12" i="4"/>
  <c r="M13" i="6"/>
  <c r="M14" i="6"/>
  <c r="M15" i="6"/>
  <c r="M18" i="6"/>
  <c r="M19" i="6"/>
  <c r="M20" i="6"/>
  <c r="M21" i="6"/>
  <c r="M22" i="6"/>
  <c r="M23" i="6"/>
  <c r="M12" i="6"/>
  <c r="N13" i="6"/>
  <c r="N14" i="6"/>
  <c r="N15" i="6"/>
  <c r="N12" i="6"/>
  <c r="N13" i="5"/>
  <c r="N14" i="5"/>
  <c r="N15" i="5"/>
  <c r="N12" i="5"/>
  <c r="M13" i="5"/>
  <c r="M14" i="5"/>
  <c r="M15" i="5"/>
  <c r="M18" i="5"/>
  <c r="M19" i="5"/>
  <c r="M20" i="5"/>
  <c r="M21" i="5"/>
  <c r="M22" i="5"/>
  <c r="M23" i="5"/>
  <c r="M12" i="5"/>
  <c r="I15" i="4"/>
  <c r="J15" i="4"/>
  <c r="K15" i="4"/>
  <c r="L15" i="4"/>
  <c r="H15" i="4"/>
  <c r="G15" i="4"/>
  <c r="C15" i="4"/>
  <c r="D15" i="4"/>
  <c r="F15" i="4"/>
  <c r="L14" i="4"/>
  <c r="K14" i="4"/>
  <c r="J14" i="4"/>
  <c r="I14" i="4"/>
  <c r="H14" i="4"/>
  <c r="G14" i="4"/>
  <c r="F14" i="4"/>
  <c r="D14" i="4"/>
  <c r="C14" i="4"/>
  <c r="D14" i="5"/>
  <c r="I14" i="5" s="1"/>
  <c r="D14" i="6"/>
  <c r="G14" i="6" s="1"/>
  <c r="I13" i="4"/>
  <c r="I12" i="4"/>
  <c r="I12" i="1"/>
  <c r="H13" i="5"/>
  <c r="H12" i="4"/>
  <c r="H13" i="4"/>
  <c r="L13" i="4"/>
  <c r="K13" i="4"/>
  <c r="J13" i="4"/>
  <c r="D13" i="6"/>
  <c r="D25" i="6" s="1"/>
  <c r="F13" i="4"/>
  <c r="D13" i="4"/>
  <c r="C13" i="4"/>
  <c r="D13" i="5"/>
  <c r="F12" i="4"/>
  <c r="D12" i="4"/>
  <c r="C12" i="4"/>
  <c r="D12" i="6"/>
  <c r="I12" i="6" s="1"/>
  <c r="B12" i="5"/>
  <c r="D12" i="5"/>
  <c r="I12" i="5" s="1"/>
  <c r="G32" i="6"/>
  <c r="G30" i="6"/>
  <c r="B30" i="6"/>
  <c r="G29" i="6"/>
  <c r="L25" i="6"/>
  <c r="F25" i="6"/>
  <c r="C25" i="6"/>
  <c r="I23" i="6"/>
  <c r="H23" i="6"/>
  <c r="N23" i="6" s="1"/>
  <c r="G23" i="6"/>
  <c r="B23" i="6"/>
  <c r="I22" i="6"/>
  <c r="H22" i="6"/>
  <c r="N22" i="6" s="1"/>
  <c r="G22" i="6"/>
  <c r="B22" i="6"/>
  <c r="I21" i="6"/>
  <c r="H21" i="6"/>
  <c r="G21" i="6"/>
  <c r="B21" i="6"/>
  <c r="I20" i="6"/>
  <c r="H20" i="6"/>
  <c r="N20" i="6" s="1"/>
  <c r="G20" i="6"/>
  <c r="B20" i="6"/>
  <c r="I19" i="6"/>
  <c r="H19" i="6"/>
  <c r="G19" i="6"/>
  <c r="B19" i="6"/>
  <c r="H18" i="6"/>
  <c r="G18" i="6"/>
  <c r="I18" i="6"/>
  <c r="B18" i="6"/>
  <c r="I17" i="6"/>
  <c r="M17" i="6" s="1"/>
  <c r="H17" i="6"/>
  <c r="H17" i="4" s="1"/>
  <c r="G17" i="6"/>
  <c r="B17" i="6"/>
  <c r="B16" i="6"/>
  <c r="I15" i="6"/>
  <c r="H15" i="6"/>
  <c r="G15" i="6"/>
  <c r="B15" i="6"/>
  <c r="B14" i="6"/>
  <c r="K25" i="6"/>
  <c r="J25" i="6"/>
  <c r="H13" i="6"/>
  <c r="G13" i="6"/>
  <c r="B13" i="6"/>
  <c r="B12" i="6"/>
  <c r="G32" i="5"/>
  <c r="G30" i="5"/>
  <c r="B30" i="5"/>
  <c r="G29" i="5"/>
  <c r="L25" i="5"/>
  <c r="K25" i="5"/>
  <c r="J25" i="5"/>
  <c r="F25" i="5"/>
  <c r="C25" i="5"/>
  <c r="I23" i="5"/>
  <c r="H23" i="5"/>
  <c r="N23" i="5" s="1"/>
  <c r="G23" i="5"/>
  <c r="B23" i="5"/>
  <c r="I22" i="5"/>
  <c r="H22" i="5"/>
  <c r="N22" i="5" s="1"/>
  <c r="G22" i="5"/>
  <c r="B22" i="5"/>
  <c r="I21" i="5"/>
  <c r="H21" i="5"/>
  <c r="G21" i="5"/>
  <c r="B21" i="5"/>
  <c r="I20" i="5"/>
  <c r="H20" i="5"/>
  <c r="G20" i="5"/>
  <c r="B20" i="5"/>
  <c r="G19" i="5"/>
  <c r="B19" i="5"/>
  <c r="I18" i="5"/>
  <c r="H18" i="5"/>
  <c r="G18" i="5"/>
  <c r="B18" i="5"/>
  <c r="I17" i="5"/>
  <c r="M17" i="5" s="1"/>
  <c r="H17" i="5"/>
  <c r="G17" i="5"/>
  <c r="B17" i="5"/>
  <c r="B16" i="5"/>
  <c r="I15" i="5"/>
  <c r="H15" i="5"/>
  <c r="G15" i="5"/>
  <c r="B15" i="5"/>
  <c r="B14" i="5"/>
  <c r="B13" i="5"/>
  <c r="D25" i="5"/>
  <c r="K19" i="2"/>
  <c r="J19" i="2"/>
  <c r="D19" i="2"/>
  <c r="D19" i="1"/>
  <c r="K18" i="2"/>
  <c r="J18" i="2"/>
  <c r="D18" i="2"/>
  <c r="D18" i="1"/>
  <c r="K17" i="2"/>
  <c r="J17" i="2"/>
  <c r="D17" i="2"/>
  <c r="D17" i="1"/>
  <c r="K16" i="2"/>
  <c r="J16" i="2"/>
  <c r="D16" i="2"/>
  <c r="D16" i="1"/>
  <c r="K15" i="2"/>
  <c r="J15" i="2"/>
  <c r="K14" i="2"/>
  <c r="J14" i="2"/>
  <c r="D14" i="2"/>
  <c r="G14" i="2" s="1"/>
  <c r="D14" i="1"/>
  <c r="K13" i="2"/>
  <c r="J13" i="2"/>
  <c r="D13" i="2"/>
  <c r="D12" i="2"/>
  <c r="G12" i="2" s="1"/>
  <c r="D12" i="1"/>
  <c r="G19" i="2"/>
  <c r="G18" i="2"/>
  <c r="G13" i="2"/>
  <c r="G23" i="2"/>
  <c r="G17" i="2"/>
  <c r="G16" i="2"/>
  <c r="G15" i="2"/>
  <c r="G22" i="2"/>
  <c r="G21" i="2"/>
  <c r="G20" i="2"/>
  <c r="G30" i="2"/>
  <c r="G17" i="4" l="1"/>
  <c r="I17" i="4"/>
  <c r="G16" i="4"/>
  <c r="I16" i="5"/>
  <c r="M16" i="5" s="1"/>
  <c r="H16" i="5"/>
  <c r="H16" i="6"/>
  <c r="G16" i="6"/>
  <c r="I16" i="6"/>
  <c r="M16" i="6" s="1"/>
  <c r="N28" i="6"/>
  <c r="M25" i="4"/>
  <c r="G13" i="4"/>
  <c r="I13" i="6"/>
  <c r="G13" i="5"/>
  <c r="I13" i="5"/>
  <c r="N28" i="5"/>
  <c r="H12" i="6"/>
  <c r="N21" i="6"/>
  <c r="N20" i="5"/>
  <c r="N21" i="5"/>
  <c r="N29" i="6"/>
  <c r="N31" i="6"/>
  <c r="H14" i="6"/>
  <c r="G12" i="6"/>
  <c r="G25" i="6" s="1"/>
  <c r="N32" i="6" s="1"/>
  <c r="I14" i="6"/>
  <c r="G12" i="5"/>
  <c r="H19" i="5"/>
  <c r="H14" i="5"/>
  <c r="G16" i="5"/>
  <c r="H12" i="5"/>
  <c r="G14" i="5"/>
  <c r="I19" i="5"/>
  <c r="N31" i="5"/>
  <c r="N29" i="5"/>
  <c r="I25" i="6" l="1"/>
  <c r="N25" i="6" s="1"/>
  <c r="N30" i="6"/>
  <c r="G25" i="5"/>
  <c r="N32" i="5" s="1"/>
  <c r="I25" i="5"/>
  <c r="N25" i="5" s="1"/>
  <c r="H25" i="6"/>
  <c r="H25" i="5"/>
  <c r="M25" i="6" l="1"/>
  <c r="N30" i="5"/>
  <c r="M25" i="5"/>
  <c r="G32" i="1" l="1"/>
  <c r="G30" i="1"/>
  <c r="B30" i="1"/>
  <c r="G29" i="1"/>
  <c r="L25" i="1"/>
  <c r="I23" i="1"/>
  <c r="H22" i="1"/>
  <c r="H21" i="1"/>
  <c r="I20" i="1"/>
  <c r="I19" i="1"/>
  <c r="H19" i="1"/>
  <c r="I18" i="1"/>
  <c r="K25" i="1"/>
  <c r="J25" i="1"/>
  <c r="F25" i="1"/>
  <c r="G17" i="1"/>
  <c r="H17" i="1"/>
  <c r="I16" i="1"/>
  <c r="G15" i="1"/>
  <c r="H15" i="1"/>
  <c r="I14" i="1"/>
  <c r="I13" i="1"/>
  <c r="G13" i="1"/>
  <c r="H13" i="1"/>
  <c r="D25" i="1"/>
  <c r="G32" i="2"/>
  <c r="B30" i="2"/>
  <c r="G29" i="2"/>
  <c r="I23" i="2"/>
  <c r="I22" i="2"/>
  <c r="H22" i="2"/>
  <c r="I21" i="2"/>
  <c r="H21" i="2"/>
  <c r="I20" i="2"/>
  <c r="H20" i="2"/>
  <c r="N20" i="2" s="1"/>
  <c r="I19" i="2"/>
  <c r="I18" i="2"/>
  <c r="I17" i="2"/>
  <c r="I16" i="2"/>
  <c r="I15" i="2"/>
  <c r="L25" i="2"/>
  <c r="K25" i="2"/>
  <c r="I14" i="2"/>
  <c r="I13" i="2"/>
  <c r="H13" i="2"/>
  <c r="J25" i="2"/>
  <c r="F25" i="2"/>
  <c r="D25" i="2"/>
  <c r="H12" i="2"/>
  <c r="H12" i="1"/>
  <c r="H14" i="1"/>
  <c r="I15" i="1"/>
  <c r="H16" i="1"/>
  <c r="I17" i="1"/>
  <c r="H18" i="1"/>
  <c r="G19" i="1"/>
  <c r="H20" i="1"/>
  <c r="G21" i="1"/>
  <c r="I21" i="1"/>
  <c r="G22" i="1"/>
  <c r="I22" i="1"/>
  <c r="H23" i="1"/>
  <c r="M23" i="1" s="1"/>
  <c r="C25" i="1"/>
  <c r="G12" i="1"/>
  <c r="G14" i="1"/>
  <c r="G16" i="1"/>
  <c r="G18" i="1"/>
  <c r="G20" i="1"/>
  <c r="G23" i="1"/>
  <c r="I12" i="2"/>
  <c r="H14" i="2"/>
  <c r="H15" i="2"/>
  <c r="H16" i="2"/>
  <c r="H17" i="2"/>
  <c r="H18" i="2"/>
  <c r="H19" i="2"/>
  <c r="H23" i="2"/>
  <c r="C25" i="2"/>
  <c r="N12" i="1" l="1"/>
  <c r="M12" i="1"/>
  <c r="M19" i="1"/>
  <c r="N19" i="1"/>
  <c r="M20" i="1"/>
  <c r="N20" i="1"/>
  <c r="M16" i="1"/>
  <c r="N16" i="1"/>
  <c r="N17" i="1"/>
  <c r="M17" i="1"/>
  <c r="N18" i="1"/>
  <c r="M18" i="1"/>
  <c r="N14" i="1"/>
  <c r="M14" i="1"/>
  <c r="N13" i="1"/>
  <c r="M13" i="1"/>
  <c r="M15" i="1"/>
  <c r="N15" i="1"/>
  <c r="M15" i="2"/>
  <c r="N15" i="2"/>
  <c r="N17" i="2"/>
  <c r="M17" i="2"/>
  <c r="N16" i="2"/>
  <c r="M16" i="2"/>
  <c r="M19" i="2"/>
  <c r="N19" i="2"/>
  <c r="M18" i="2"/>
  <c r="N18" i="2"/>
  <c r="M14" i="2"/>
  <c r="N14" i="2"/>
  <c r="N12" i="2"/>
  <c r="M12" i="2"/>
  <c r="N13" i="2"/>
  <c r="M13" i="2"/>
  <c r="M23" i="2"/>
  <c r="N23" i="2"/>
  <c r="N23" i="1"/>
  <c r="M22" i="2"/>
  <c r="N22" i="2"/>
  <c r="M22" i="1"/>
  <c r="N22" i="1"/>
  <c r="N21" i="2"/>
  <c r="M21" i="2"/>
  <c r="N21" i="1"/>
  <c r="M21" i="1"/>
  <c r="M20" i="2"/>
  <c r="D25" i="4"/>
  <c r="K25" i="4"/>
  <c r="N29" i="1"/>
  <c r="I25" i="2"/>
  <c r="L25" i="4"/>
  <c r="N28" i="1"/>
  <c r="N29" i="2"/>
  <c r="N28" i="2"/>
  <c r="N31" i="2"/>
  <c r="G25" i="1"/>
  <c r="N30" i="1" s="1"/>
  <c r="G25" i="2"/>
  <c r="N32" i="2" s="1"/>
  <c r="H25" i="2"/>
  <c r="H25" i="1"/>
  <c r="N31" i="1"/>
  <c r="F25" i="4"/>
  <c r="I25" i="1"/>
  <c r="N25" i="2" l="1"/>
  <c r="N25" i="1"/>
  <c r="N29" i="4"/>
  <c r="H25" i="4"/>
  <c r="M25" i="1"/>
  <c r="N32" i="1"/>
  <c r="M25" i="2"/>
  <c r="I25" i="4"/>
  <c r="N25" i="4" s="1"/>
  <c r="N30" i="2"/>
  <c r="G12" i="4" l="1"/>
  <c r="G25" i="4" s="1"/>
  <c r="C25" i="4"/>
  <c r="N32" i="4" l="1"/>
  <c r="N30" i="4"/>
  <c r="J25" i="4"/>
  <c r="N28" i="4" s="1"/>
  <c r="N31" i="4" l="1"/>
</calcChain>
</file>

<file path=xl/sharedStrings.xml><?xml version="1.0" encoding="utf-8"?>
<sst xmlns="http://schemas.openxmlformats.org/spreadsheetml/2006/main" count="274" uniqueCount="63">
  <si>
    <t>Plan Year:</t>
  </si>
  <si>
    <t>through</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</si>
  <si>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</si>
  <si>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</si>
  <si>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</si>
  <si>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</si>
  <si>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</si>
  <si>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</si>
  <si>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</si>
  <si>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</si>
  <si>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</si>
  <si>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</si>
  <si>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</si>
  <si>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</si>
  <si>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</si>
  <si>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</si>
  <si>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</si>
  <si>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</si>
  <si>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</si>
  <si>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</si>
  <si>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</si>
  <si>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</si>
  <si>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</si>
  <si>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</si>
  <si>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</si>
  <si>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</si>
  <si>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</si>
  <si>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</si>
  <si>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</si>
  <si>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</si>
  <si>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</si>
  <si>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</si>
  <si>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</si>
  <si>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</si>
  <si>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</si>
  <si>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</si>
  <si>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ES</t>
  </si>
  <si>
    <t>Assignment of Benefits</t>
  </si>
  <si>
    <t>Summary</t>
  </si>
  <si>
    <t>Dental</t>
  </si>
  <si>
    <t>Standard</t>
  </si>
  <si>
    <t>Ortho not covered</t>
  </si>
  <si>
    <t>Annual Maximum Amount $1000</t>
  </si>
  <si>
    <t>Premium</t>
  </si>
  <si>
    <t>Gainesville City School</t>
  </si>
  <si>
    <t>S29</t>
  </si>
  <si>
    <t>Prior Year Data</t>
  </si>
  <si>
    <t>Surplus (Deficit)</t>
  </si>
  <si>
    <t>Child ortho covered only</t>
  </si>
  <si>
    <t>E+1</t>
  </si>
  <si>
    <t>Monthly Performance Report - Budgeted vs Actual Claims Paid</t>
  </si>
  <si>
    <t>Gainesville City Schools</t>
  </si>
  <si>
    <t>29DEN Premium</t>
  </si>
  <si>
    <t>29DEN Standard</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</si>
  <si>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</si>
  <si>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100% of the first $200</t>
  </si>
  <si>
    <t>50% of the next $1,600</t>
  </si>
  <si>
    <t>100% of the first $250</t>
  </si>
  <si>
    <t>Annual Maximum Amount $1,500</t>
  </si>
  <si>
    <t>70% of the next $100 - 50% of the remaining benefit</t>
  </si>
  <si>
    <t xml:space="preserve">   </t>
  </si>
  <si>
    <t>S29DEN</t>
  </si>
  <si>
    <t>70% of the next $150 - 50% of the remaining benefit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</si>
</sst>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9" x14ac:knownFonts="1">
    <font>
      <sz val="11"/>
      <color theme="1"/>
      <name val="Calibri"/>
      <family val="2"/>
      <scheme val="minor"/>
    </font>
    <font>
      <sz val="11"/>
      <color indexed="8"/>
      <name val="Calibri"/>
      <family val="2"/>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b/>
      <sz val="12"/>
      <name val="Arial"/>
      <family val="2"/>
    </font>
    <font>
      <sz val="12"/>
      <name val="Arial"/>
      <family val="2"/>
    </font>
    <font>
      <u/>
      <sz val="12"/>
      <name val="Arial"/>
      <family val="2"/>
    </font>
    <font>
      <b/>
      <sz val="12"/>
      <color rgb="FF00B050"/>
      <name val="Arial"/>
      <family val="2"/>
    </font>
    <font>
      <sz val="12"/>
      <color rgb="FF00B050"/>
      <name val="Arial"/>
      <family val="2"/>
    </font>
    <font>
      <b/>
      <sz val="12"/>
      <color rgb="FFFF0000"/>
      <name val="Arial"/>
      <family val="2"/>
    </font>
    <font>
      <sz val="12"/>
      <color rgb="FFFF0000"/>
      <name val="Arial"/>
      <family val="2"/>
    </font>
    <font>
      <sz val="12"/>
      <color theme="0"/>
      <name val="Arial"/>
      <family val="2"/>
    </font>
  </fonts>
  <fills count="2">
    <fill>
      <patternFill patternType="none"/>
    </fill>
    <fill>
      <patternFill patternType="gray125"/>
    </fill>
  </fills>
  <borders count="31">
    <border>
      <left/>
      <right/>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67">
    <xf numFmtId="0" fontId="0" fillId="0" borderId="0" xfId="0"/>
    <xf numFmtId="0" fontId="3" fillId="0" borderId="0" xfId="0" applyFont="1"/>
    <xf numFmtId="0" fontId="4" fillId="0" borderId="0" xfId="0" applyFont="1" applyAlignment="1">
      <alignment horizontal="center"/>
    </xf>
    <xf numFmtId="0" fontId="2" fillId="0" borderId="0" xfId="0" applyFont="1"/>
    <xf numFmtId="0" fontId="5" fillId="0" borderId="0" xfId="0" applyFont="1" applyAlignment="1">
      <alignment horizontal="right"/>
    </xf>
    <xf numFmtId="0" fontId="4" fillId="0" borderId="0" xfId="0" applyFont="1" applyAlignment="1">
      <alignment horizontal="right"/>
    </xf>
    <xf numFmtId="164" fontId="2" fillId="0" borderId="0" xfId="0" applyNumberFormat="1" applyFont="1" applyAlignment="1">
      <alignment horizontal="center"/>
    </xf>
    <xf numFmtId="0" fontId="3"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right"/>
    </xf>
    <xf numFmtId="0" fontId="2" fillId="0" borderId="0" xfId="0" applyFont="1" applyAlignment="1">
      <alignment horizontal="right"/>
    </xf>
    <xf numFmtId="0" fontId="9" fillId="0" borderId="0" xfId="0" applyFont="1"/>
    <xf numFmtId="0" fontId="2" fillId="0" borderId="0" xfId="0" applyFont="1" applyAlignment="1">
      <alignment horizontal="center"/>
    </xf>
    <xf numFmtId="0" fontId="4" fillId="0" borderId="0" xfId="0" applyFont="1"/>
    <xf numFmtId="0" fontId="2" fillId="0" borderId="0" xfId="0" applyFont="1" applyAlignment="1">
      <alignment horizontal="left"/>
    </xf>
    <xf numFmtId="164" fontId="4" fillId="0" borderId="0" xfId="0" applyNumberFormat="1" applyFont="1" applyAlignment="1">
      <alignment horizontal="center"/>
    </xf>
    <xf numFmtId="0" fontId="10" fillId="0" borderId="0" xfId="0" applyFont="1"/>
    <xf numFmtId="7" fontId="10" fillId="0" borderId="0" xfId="0" applyNumberFormat="1" applyFont="1"/>
    <xf numFmtId="0" fontId="10" fillId="0" borderId="0" xfId="0" applyFont="1" applyAlignment="1">
      <alignment horizontal="center"/>
    </xf>
    <xf numFmtId="0" fontId="10" fillId="0" borderId="0" xfId="0" applyFont="1" applyAlignment="1">
      <alignment horizontal="center" wrapText="1"/>
    </xf>
    <xf numFmtId="165" fontId="8" fillId="0" borderId="0" xfId="1" applyNumberFormat="1" applyFont="1"/>
    <xf numFmtId="0" fontId="11" fillId="0" borderId="1" xfId="0" applyFont="1" applyBorder="1" applyAlignment="1">
      <alignment horizontal="center" wrapText="1"/>
    </xf>
    <xf numFmtId="0" fontId="11" fillId="0" borderId="3" xfId="0" applyFont="1" applyBorder="1" applyAlignment="1">
      <alignment horizontal="center" wrapText="1"/>
    </xf>
    <xf numFmtId="44" fontId="12" fillId="0" borderId="0" xfId="2" applyFont="1" applyAlignment="1">
      <alignment horizontal="right"/>
    </xf>
    <xf numFmtId="0" fontId="12" fillId="0" borderId="0" xfId="0" applyFont="1"/>
    <xf numFmtId="2" fontId="11" fillId="0" borderId="5" xfId="0" applyNumberFormat="1" applyFont="1" applyBorder="1" applyAlignment="1">
      <alignment horizontal="center" vertical="center"/>
    </xf>
    <xf numFmtId="0" fontId="11" fillId="0" borderId="6" xfId="0" applyFont="1" applyBorder="1"/>
    <xf numFmtId="166" fontId="11" fillId="0" borderId="0" xfId="0" applyNumberFormat="1" applyFont="1" applyAlignment="1">
      <alignment horizontal="right"/>
    </xf>
    <xf numFmtId="0" fontId="11" fillId="0" borderId="0" xfId="0" applyFont="1" applyAlignment="1">
      <alignment horizontal="right"/>
    </xf>
    <xf numFmtId="0" fontId="11" fillId="0" borderId="7" xfId="0" applyFont="1" applyBorder="1" applyAlignment="1">
      <alignment horizontal="right"/>
    </xf>
    <xf numFmtId="0" fontId="11" fillId="0" borderId="8" xfId="0" applyFont="1" applyBorder="1" applyAlignment="1">
      <alignment horizontal="center"/>
    </xf>
    <xf numFmtId="0" fontId="11" fillId="0" borderId="9" xfId="0" applyFont="1" applyBorder="1" applyAlignment="1">
      <alignment horizontal="center"/>
    </xf>
    <xf numFmtId="0" fontId="11" fillId="0" borderId="1" xfId="0" applyFont="1" applyBorder="1" applyAlignment="1">
      <alignment horizontal="center"/>
    </xf>
    <xf numFmtId="0" fontId="11" fillId="0" borderId="10" xfId="0" applyFont="1" applyBorder="1" applyAlignment="1">
      <alignment horizontal="right"/>
    </xf>
    <xf numFmtId="166" fontId="11" fillId="0" borderId="11" xfId="0" applyNumberFormat="1" applyFont="1" applyBorder="1" applyAlignment="1">
      <alignment horizontal="right"/>
    </xf>
    <xf numFmtId="165" fontId="11" fillId="0" borderId="0" xfId="1" applyNumberFormat="1" applyFont="1" applyAlignment="1">
      <alignment horizontal="right"/>
    </xf>
    <xf numFmtId="166" fontId="11" fillId="0" borderId="4" xfId="0" applyNumberFormat="1" applyFont="1" applyBorder="1" applyAlignment="1">
      <alignment horizontal="center"/>
    </xf>
    <xf numFmtId="0" fontId="11" fillId="0" borderId="11" xfId="0" applyFont="1" applyBorder="1" applyAlignment="1">
      <alignment horizontal="center"/>
    </xf>
    <xf numFmtId="0" fontId="11" fillId="0" borderId="10" xfId="0" applyFont="1" applyBorder="1" applyAlignment="1">
      <alignment horizontal="center"/>
    </xf>
    <xf numFmtId="0" fontId="11" fillId="0" borderId="3" xfId="0" applyFont="1" applyBorder="1" applyAlignment="1">
      <alignment horizontal="center"/>
    </xf>
    <xf numFmtId="17" fontId="12" fillId="0" borderId="9" xfId="0" quotePrefix="1" applyNumberFormat="1" applyFont="1" applyBorder="1" applyAlignment="1">
      <alignment horizontal="right"/>
    </xf>
    <xf numFmtId="165" fontId="12" fillId="0" borderId="8" xfId="1" applyNumberFormat="1" applyFont="1" applyBorder="1" applyAlignment="1">
      <alignment horizontal="right"/>
    </xf>
    <xf numFmtId="165" fontId="12" fillId="0" borderId="1" xfId="1" applyNumberFormat="1" applyFont="1" applyBorder="1" applyAlignment="1">
      <alignment horizontal="right"/>
    </xf>
    <xf numFmtId="44" fontId="12" fillId="0" borderId="2" xfId="2" applyFont="1" applyBorder="1" applyAlignment="1">
      <alignment horizontal="right"/>
    </xf>
    <xf numFmtId="44" fontId="12" fillId="0" borderId="9" xfId="2" applyFont="1" applyBorder="1" applyAlignment="1">
      <alignment horizontal="right"/>
    </xf>
    <xf numFmtId="44" fontId="12" fillId="0" borderId="8" xfId="2" applyFont="1" applyBorder="1" applyAlignment="1">
      <alignment horizontal="center"/>
    </xf>
    <xf numFmtId="44" fontId="12" fillId="0" borderId="8" xfId="2" applyFont="1" applyBorder="1"/>
    <xf numFmtId="165" fontId="12" fillId="0" borderId="1" xfId="1" applyNumberFormat="1" applyFont="1" applyBorder="1" applyAlignment="1">
      <alignment horizontal="center" wrapText="1"/>
    </xf>
    <xf numFmtId="44" fontId="12" fillId="0" borderId="9" xfId="2" applyFont="1" applyBorder="1"/>
    <xf numFmtId="10" fontId="12" fillId="0" borderId="1" xfId="3" applyNumberFormat="1" applyFont="1" applyBorder="1"/>
    <xf numFmtId="165" fontId="12" fillId="0" borderId="0" xfId="0" applyNumberFormat="1" applyFont="1"/>
    <xf numFmtId="17" fontId="12" fillId="0" borderId="6" xfId="0" applyNumberFormat="1" applyFont="1" applyBorder="1" applyAlignment="1">
      <alignment horizontal="right"/>
    </xf>
    <xf numFmtId="165" fontId="12" fillId="0" borderId="0" xfId="1" applyNumberFormat="1" applyFont="1" applyAlignment="1">
      <alignment horizontal="right"/>
    </xf>
    <xf numFmtId="165" fontId="12" fillId="0" borderId="12" xfId="1" applyNumberFormat="1" applyFont="1" applyBorder="1" applyAlignment="1">
      <alignment horizontal="right"/>
    </xf>
    <xf numFmtId="44" fontId="12" fillId="0" borderId="7" xfId="2" applyFont="1" applyBorder="1" applyAlignment="1">
      <alignment horizontal="right"/>
    </xf>
    <xf numFmtId="44" fontId="12" fillId="0" borderId="6" xfId="2" applyFont="1" applyBorder="1" applyAlignment="1">
      <alignment horizontal="right"/>
    </xf>
    <xf numFmtId="165" fontId="12" fillId="0" borderId="0" xfId="1" applyNumberFormat="1" applyFont="1"/>
    <xf numFmtId="17" fontId="12" fillId="0" borderId="10" xfId="0" applyNumberFormat="1" applyFont="1" applyBorder="1" applyAlignment="1">
      <alignment horizontal="right"/>
    </xf>
    <xf numFmtId="165" fontId="12" fillId="0" borderId="11" xfId="1" applyNumberFormat="1" applyFont="1" applyBorder="1" applyAlignment="1">
      <alignment horizontal="right"/>
    </xf>
    <xf numFmtId="165" fontId="12" fillId="0" borderId="3" xfId="1" applyNumberFormat="1" applyFont="1" applyBorder="1" applyAlignment="1">
      <alignment horizontal="right"/>
    </xf>
    <xf numFmtId="44" fontId="12" fillId="0" borderId="4" xfId="2" applyFont="1" applyBorder="1" applyAlignment="1">
      <alignment horizontal="right"/>
    </xf>
    <xf numFmtId="44" fontId="12" fillId="0" borderId="10" xfId="2" applyFont="1" applyBorder="1" applyAlignment="1">
      <alignment horizontal="right"/>
    </xf>
    <xf numFmtId="44" fontId="12" fillId="0" borderId="11" xfId="2" applyFont="1" applyBorder="1" applyAlignment="1">
      <alignment horizontal="center"/>
    </xf>
    <xf numFmtId="44" fontId="12" fillId="0" borderId="11" xfId="2" applyFont="1" applyBorder="1"/>
    <xf numFmtId="165" fontId="12" fillId="0" borderId="3" xfId="1" applyNumberFormat="1" applyFont="1" applyBorder="1" applyAlignment="1">
      <alignment horizontal="center" wrapText="1"/>
    </xf>
    <xf numFmtId="44" fontId="12" fillId="0" borderId="10" xfId="2" applyFont="1" applyBorder="1"/>
    <xf numFmtId="10" fontId="12" fillId="0" borderId="3" xfId="3" applyNumberFormat="1" applyFont="1" applyBorder="1" applyAlignment="1">
      <alignment horizontal="center"/>
    </xf>
    <xf numFmtId="0" fontId="11" fillId="0" borderId="13" xfId="0" applyFont="1" applyBorder="1" applyAlignment="1">
      <alignment horizontal="right"/>
    </xf>
    <xf numFmtId="165" fontId="11" fillId="0" borderId="14" xfId="1" applyNumberFormat="1" applyFont="1" applyBorder="1" applyAlignment="1">
      <alignment horizontal="right"/>
    </xf>
    <xf numFmtId="44" fontId="11" fillId="0" borderId="13" xfId="2" applyFont="1" applyBorder="1"/>
    <xf numFmtId="44" fontId="11" fillId="0" borderId="14" xfId="2" applyFont="1" applyBorder="1"/>
    <xf numFmtId="44" fontId="11" fillId="0" borderId="14" xfId="2" applyFont="1" applyBorder="1" applyAlignment="1">
      <alignment horizontal="right"/>
    </xf>
    <xf numFmtId="165" fontId="11" fillId="0" borderId="15" xfId="1" applyNumberFormat="1" applyFont="1" applyBorder="1" applyAlignment="1">
      <alignment horizontal="center" wrapText="1"/>
    </xf>
    <xf numFmtId="0" fontId="11" fillId="0" borderId="0" xfId="0" applyFont="1"/>
    <xf numFmtId="0" fontId="12" fillId="0" borderId="0" xfId="0" applyFont="1" applyAlignment="1">
      <alignment horizontal="center"/>
    </xf>
    <xf numFmtId="0" fontId="12" fillId="0" borderId="0" xfId="0" applyFont="1" applyAlignment="1">
      <alignment horizontal="center" wrapText="1"/>
    </xf>
    <xf numFmtId="0" fontId="11" fillId="0" borderId="0" xfId="0" applyFont="1" applyAlignment="1">
      <alignment horizontal="center"/>
    </xf>
    <xf numFmtId="0" fontId="12" fillId="0" borderId="16" xfId="0" applyFont="1" applyBorder="1"/>
    <xf numFmtId="0" fontId="12" fillId="0" borderId="17" xfId="0" applyFont="1" applyBorder="1" applyAlignment="1">
      <alignment horizontal="center"/>
    </xf>
    <xf numFmtId="44" fontId="12" fillId="0" borderId="17" xfId="2" applyFont="1" applyBorder="1"/>
    <xf numFmtId="0" fontId="12" fillId="0" borderId="17" xfId="0" applyFont="1" applyBorder="1" applyAlignment="1">
      <alignment horizontal="right"/>
    </xf>
    <xf numFmtId="167" fontId="12" fillId="0" borderId="17" xfId="0" applyNumberFormat="1" applyFont="1" applyBorder="1" applyAlignment="1">
      <alignment horizontal="center"/>
    </xf>
    <xf numFmtId="167" fontId="12" fillId="0" borderId="0" xfId="0" applyNumberFormat="1" applyFont="1" applyAlignment="1">
      <alignment horizontal="center"/>
    </xf>
    <xf numFmtId="165" fontId="12" fillId="0" borderId="17" xfId="1" applyNumberFormat="1" applyFont="1" applyBorder="1" applyAlignment="1">
      <alignment horizontal="right"/>
    </xf>
    <xf numFmtId="43" fontId="12" fillId="0" borderId="17" xfId="1" applyFont="1" applyBorder="1"/>
    <xf numFmtId="10" fontId="12" fillId="0" borderId="17" xfId="0" applyNumberFormat="1" applyFont="1" applyBorder="1"/>
    <xf numFmtId="167" fontId="12" fillId="0" borderId="0" xfId="0" applyNumberFormat="1" applyFont="1" applyAlignment="1">
      <alignment horizontal="right"/>
    </xf>
    <xf numFmtId="0" fontId="12" fillId="0" borderId="0" xfId="0" applyFont="1" applyAlignment="1">
      <alignment horizontal="left"/>
    </xf>
    <xf numFmtId="8" fontId="12" fillId="0" borderId="0" xfId="0" applyNumberFormat="1" applyFont="1"/>
    <xf numFmtId="3" fontId="12" fillId="0" borderId="0" xfId="0" applyNumberFormat="1" applyFont="1" applyAlignment="1">
      <alignment horizontal="left"/>
    </xf>
    <xf numFmtId="1" fontId="11" fillId="0" borderId="15" xfId="1" applyNumberFormat="1" applyFont="1" applyBorder="1" applyAlignment="1">
      <alignment horizontal="center" wrapText="1"/>
    </xf>
    <xf numFmtId="0" fontId="12" fillId="0" borderId="0" xfId="0" applyFont="1" applyAlignment="1">
      <alignment horizontal="right"/>
    </xf>
    <xf numFmtId="10" fontId="11" fillId="0" borderId="15" xfId="0" applyNumberFormat="1" applyFont="1" applyBorder="1" applyAlignment="1">
      <alignment horizontal="right"/>
    </xf>
    <xf numFmtId="10" fontId="12" fillId="0" borderId="12" xfId="3" applyNumberFormat="1" applyFont="1" applyBorder="1" applyAlignment="1">
      <alignment horizontal="right"/>
    </xf>
    <xf numFmtId="44" fontId="15" fillId="0" borderId="17" xfId="2" applyFont="1" applyBorder="1"/>
    <xf numFmtId="43" fontId="15" fillId="0" borderId="17" xfId="1" applyFont="1" applyBorder="1"/>
    <xf numFmtId="10" fontId="15" fillId="0" borderId="17" xfId="0" applyNumberFormat="1" applyFont="1" applyBorder="1"/>
    <xf numFmtId="8" fontId="15" fillId="0" borderId="17" xfId="2" applyNumberFormat="1" applyFont="1" applyBorder="1"/>
    <xf numFmtId="44" fontId="17" fillId="0" borderId="17" xfId="2" applyFont="1" applyBorder="1"/>
    <xf numFmtId="43" fontId="17" fillId="0" borderId="17" xfId="1" applyFont="1" applyBorder="1"/>
    <xf numFmtId="10" fontId="17" fillId="0" borderId="17" xfId="0" applyNumberFormat="1" applyFont="1" applyBorder="1"/>
    <xf numFmtId="8" fontId="17" fillId="0" borderId="17" xfId="2" applyNumberFormat="1" applyFont="1" applyBorder="1"/>
    <xf numFmtId="10" fontId="18" fillId="0" borderId="12" xfId="3" applyNumberFormat="1" applyFont="1" applyBorder="1" applyAlignment="1">
      <alignment horizontal="right"/>
    </xf>
    <xf numFmtId="0" fontId="12" fillId="0" borderId="0" xfId="2" applyNumberFormat="1" applyFont="1" applyBorder="1" applyAlignment="1">
      <alignment horizontal="right"/>
    </xf>
    <xf numFmtId="1" fontId="12" fillId="0" borderId="8" xfId="1" applyNumberFormat="1" applyFont="1" applyBorder="1" applyAlignment="1">
      <alignment horizontal="center" wrapText="1"/>
    </xf>
    <xf numFmtId="1" fontId="12" fillId="0" borderId="0" xfId="2" applyNumberFormat="1" applyFont="1" applyBorder="1" applyAlignment="1">
      <alignment horizontal="right"/>
    </xf>
    <xf numFmtId="1" fontId="18" fillId="0" borderId="0" xfId="2" applyNumberFormat="1" applyFont="1" applyBorder="1" applyAlignment="1">
      <alignment horizontal="right"/>
    </xf>
    <xf numFmtId="1" fontId="12" fillId="0" borderId="11" xfId="1" applyNumberFormat="1" applyFont="1" applyBorder="1" applyAlignment="1">
      <alignment horizontal="center" wrapText="1"/>
    </xf>
    <xf numFmtId="0" fontId="2" fillId="0" borderId="0" xfId="0" applyFont="1" applyAlignment="1">
      <alignment horizontal="center"/>
    </xf>
    <xf numFmtId="0" fontId="4" fillId="0" borderId="0" xfId="0" applyFont="1" applyAlignment="1">
      <alignment horizontal="center"/>
    </xf>
    <xf numFmtId="0" fontId="4" fillId="0" borderId="0" xfId="0" applyFont="1" applyAlignment="1">
      <alignment horizontal="right"/>
    </xf>
    <xf numFmtId="0" fontId="2" fillId="0" borderId="0" xfId="0" applyFont="1" applyAlignment="1">
      <alignment horizontal="left"/>
    </xf>
    <xf numFmtId="167" fontId="12" fillId="0" borderId="18" xfId="0" applyNumberFormat="1" applyFont="1" applyBorder="1" applyAlignment="1">
      <alignment horizontal="center"/>
    </xf>
    <xf numFmtId="167" fontId="12" fillId="0" borderId="19" xfId="0" applyNumberFormat="1" applyFont="1" applyBorder="1" applyAlignment="1">
      <alignment horizontal="center"/>
    </xf>
    <xf numFmtId="167" fontId="12" fillId="0" borderId="16" xfId="0" applyNumberFormat="1" applyFont="1" applyBorder="1" applyAlignment="1">
      <alignment horizontal="center"/>
    </xf>
    <xf numFmtId="0" fontId="12" fillId="0" borderId="16" xfId="0" applyFont="1" applyBorder="1" applyAlignment="1">
      <alignment horizontal="right"/>
    </xf>
    <xf numFmtId="0" fontId="12" fillId="0" borderId="18" xfId="0" applyFont="1" applyBorder="1" applyAlignment="1">
      <alignment horizontal="right"/>
    </xf>
    <xf numFmtId="0" fontId="12" fillId="0" borderId="19" xfId="0" applyFont="1" applyBorder="1" applyAlignment="1">
      <alignment horizontal="right"/>
    </xf>
    <xf numFmtId="2" fontId="11" fillId="0" borderId="13" xfId="0" applyNumberFormat="1" applyFont="1" applyBorder="1" applyAlignment="1">
      <alignment horizontal="center" vertical="center"/>
    </xf>
    <xf numFmtId="2" fontId="11" fillId="0" borderId="14" xfId="0" applyNumberFormat="1"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11" fillId="0" borderId="13" xfId="0" applyFont="1" applyBorder="1" applyAlignment="1">
      <alignment horizontal="center" vertical="center"/>
    </xf>
    <xf numFmtId="0" fontId="11" fillId="0" borderId="28" xfId="0" applyFont="1" applyBorder="1" applyAlignment="1">
      <alignment horizontal="center"/>
    </xf>
    <xf numFmtId="0" fontId="11" fillId="0" borderId="29" xfId="0" applyFont="1" applyBorder="1" applyAlignment="1">
      <alignment horizontal="center"/>
    </xf>
    <xf numFmtId="0" fontId="11" fillId="0" borderId="30" xfId="0" applyFont="1" applyBorder="1" applyAlignment="1">
      <alignment horizontal="center"/>
    </xf>
    <xf numFmtId="0" fontId="11" fillId="0" borderId="16" xfId="0" applyFont="1" applyBorder="1" applyAlignment="1">
      <alignment horizontal="center"/>
    </xf>
    <xf numFmtId="0" fontId="12" fillId="0" borderId="18" xfId="0" applyFont="1" applyBorder="1" applyAlignment="1">
      <alignment horizontal="center"/>
    </xf>
    <xf numFmtId="0" fontId="12" fillId="0" borderId="19" xfId="0" applyFont="1" applyBorder="1" applyAlignment="1">
      <alignment horizontal="center"/>
    </xf>
    <xf numFmtId="0" fontId="12" fillId="0" borderId="16" xfId="0" applyFont="1" applyBorder="1" applyAlignment="1">
      <alignment horizontal="center"/>
    </xf>
    <xf numFmtId="3" fontId="12" fillId="0" borderId="9" xfId="0" applyNumberFormat="1" applyFont="1" applyBorder="1" applyAlignment="1">
      <alignment horizontal="left"/>
    </xf>
    <xf numFmtId="3" fontId="12" fillId="0" borderId="8" xfId="0" applyNumberFormat="1" applyFont="1" applyBorder="1" applyAlignment="1">
      <alignment horizontal="left"/>
    </xf>
    <xf numFmtId="3" fontId="12" fillId="0" borderId="1" xfId="0" applyNumberFormat="1" applyFont="1" applyBorder="1" applyAlignment="1">
      <alignment horizontal="left"/>
    </xf>
    <xf numFmtId="0" fontId="17" fillId="0" borderId="16" xfId="0" applyFont="1" applyBorder="1" applyAlignment="1">
      <alignment horizontal="right"/>
    </xf>
    <xf numFmtId="0" fontId="17" fillId="0" borderId="18" xfId="0" applyFont="1" applyBorder="1" applyAlignment="1">
      <alignment horizontal="right"/>
    </xf>
    <xf numFmtId="0" fontId="17" fillId="0" borderId="19" xfId="0" applyFont="1" applyBorder="1" applyAlignment="1">
      <alignment horizontal="right"/>
    </xf>
    <xf numFmtId="0" fontId="11" fillId="0" borderId="2" xfId="0" applyFont="1" applyBorder="1" applyAlignment="1">
      <alignment horizontal="center"/>
    </xf>
    <xf numFmtId="0" fontId="16" fillId="0" borderId="16" xfId="0" applyFont="1" applyBorder="1" applyAlignment="1">
      <alignment horizontal="center"/>
    </xf>
    <xf numFmtId="0" fontId="17" fillId="0" borderId="18" xfId="0" applyFont="1" applyBorder="1" applyAlignment="1">
      <alignment horizontal="center"/>
    </xf>
    <xf numFmtId="0" fontId="17" fillId="0" borderId="19" xfId="0" applyFont="1" applyBorder="1" applyAlignment="1">
      <alignment horizontal="center"/>
    </xf>
    <xf numFmtId="3" fontId="12" fillId="0" borderId="10" xfId="0" applyNumberFormat="1" applyFont="1" applyBorder="1" applyAlignment="1">
      <alignment horizontal="left"/>
    </xf>
    <xf numFmtId="3" fontId="12" fillId="0" borderId="11" xfId="0" applyNumberFormat="1" applyFont="1" applyBorder="1" applyAlignment="1">
      <alignment horizontal="left"/>
    </xf>
    <xf numFmtId="3" fontId="12" fillId="0" borderId="3" xfId="0" applyNumberFormat="1" applyFont="1" applyBorder="1" applyAlignment="1">
      <alignment horizontal="left"/>
    </xf>
    <xf numFmtId="0" fontId="16" fillId="0" borderId="16" xfId="0" applyFont="1" applyBorder="1" applyAlignment="1">
      <alignment horizontal="right"/>
    </xf>
    <xf numFmtId="0" fontId="16" fillId="0" borderId="18" xfId="0" applyFont="1" applyBorder="1" applyAlignment="1">
      <alignment horizontal="right"/>
    </xf>
    <xf numFmtId="0" fontId="16" fillId="0" borderId="19" xfId="0" applyFont="1" applyBorder="1" applyAlignment="1">
      <alignment horizontal="right"/>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0" xfId="0" applyFont="1" applyAlignment="1">
      <alignment horizontal="center" vertical="center" wrapText="1"/>
    </xf>
    <xf numFmtId="0" fontId="12" fillId="0" borderId="24"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27" xfId="0" applyFont="1" applyBorder="1" applyAlignment="1">
      <alignment horizontal="center" vertical="center" wrapText="1"/>
    </xf>
    <xf numFmtId="3" fontId="12" fillId="0" borderId="6" xfId="0" applyNumberFormat="1" applyFont="1" applyBorder="1" applyAlignment="1">
      <alignment horizontal="left"/>
    </xf>
    <xf numFmtId="3" fontId="12" fillId="0" borderId="0" xfId="0" applyNumberFormat="1" applyFont="1" applyAlignment="1">
      <alignment horizontal="left"/>
    </xf>
    <xf numFmtId="3" fontId="12" fillId="0" borderId="12" xfId="0" applyNumberFormat="1" applyFont="1" applyBorder="1" applyAlignment="1">
      <alignment horizontal="left"/>
    </xf>
    <xf numFmtId="0" fontId="14" fillId="0" borderId="16" xfId="0" applyFont="1" applyBorder="1" applyAlignment="1">
      <alignment horizontal="right"/>
    </xf>
    <xf numFmtId="0" fontId="14" fillId="0" borderId="18" xfId="0" applyFont="1" applyBorder="1" applyAlignment="1">
      <alignment horizontal="right"/>
    </xf>
    <xf numFmtId="0" fontId="14" fillId="0" borderId="19" xfId="0" applyFont="1" applyBorder="1" applyAlignment="1">
      <alignment horizontal="right"/>
    </xf>
    <xf numFmtId="0" fontId="15" fillId="0" borderId="16" xfId="0" applyFont="1" applyBorder="1" applyAlignment="1">
      <alignment horizontal="right"/>
    </xf>
    <xf numFmtId="0" fontId="15" fillId="0" borderId="18" xfId="0" applyFont="1" applyBorder="1" applyAlignment="1">
      <alignment horizontal="right"/>
    </xf>
    <xf numFmtId="0" fontId="15" fillId="0" borderId="19" xfId="0" applyFont="1" applyBorder="1" applyAlignment="1">
      <alignment horizontal="right"/>
    </xf>
    <xf numFmtId="0" fontId="14" fillId="0" borderId="16"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cellXfs>
  <cellStyles count="4">
    <cellStyle name="Comma 2" xfId="1" xr:uid="{00000000-0005-0000-0000-000000000000}"/>
    <cellStyle name="Currency 2" xfId="2" xr:uid="{00000000-0005-0000-0000-000001000000}"/>
    <cellStyle name="Normal" xfId="0" builtinId="0"/>
    <cellStyle name="Percent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228600</xdr:rowOff>
    </xdr:from>
    <xdr:to>
      <xdr:col>3</xdr:col>
      <xdr:colOff>19050</xdr:colOff>
      <xdr:row>3</xdr:row>
      <xdr:rowOff>53975</xdr:rowOff>
    </xdr:to>
    <xdr:pic>
      <xdr:nvPicPr>
        <xdr:cNvPr id="2188" name="Picture 1">
          <a:extLst>
            <a:ext uri="{FF2B5EF4-FFF2-40B4-BE49-F238E27FC236}">
              <a16:creationId xmlns:a16="http://schemas.microsoft.com/office/drawing/2014/main" id="{00000000-0008-0000-0000-00008C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2860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0</xdr:row>
      <xdr:rowOff>0</xdr:rowOff>
    </xdr:from>
    <xdr:to>
      <xdr:col>3</xdr:col>
      <xdr:colOff>57150</xdr:colOff>
      <xdr:row>3</xdr:row>
      <xdr:rowOff>25400</xdr:rowOff>
    </xdr:to>
    <xdr:pic>
      <xdr:nvPicPr>
        <xdr:cNvPr id="2" name="Picture 1">
          <a:extLst>
            <a:ext uri="{FF2B5EF4-FFF2-40B4-BE49-F238E27FC236}">
              <a16:creationId xmlns:a16="http://schemas.microsoft.com/office/drawing/2014/main" id="{054FF4DB-1DF7-40F8-8A71-2E96A59E5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8279" y="0"/>
          <a:ext cx="1583871" cy="8010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3</xdr:col>
      <xdr:colOff>53975</xdr:colOff>
      <xdr:row>3</xdr:row>
      <xdr:rowOff>58511</xdr:rowOff>
    </xdr:to>
    <xdr:pic>
      <xdr:nvPicPr>
        <xdr:cNvPr id="2" name="Picture 1">
          <a:extLst>
            <a:ext uri="{FF2B5EF4-FFF2-40B4-BE49-F238E27FC236}">
              <a16:creationId xmlns:a16="http://schemas.microsoft.com/office/drawing/2014/main" id="{11EFCF5B-32F8-43F0-ACCA-61E0AF390F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8754" y="0"/>
          <a:ext cx="1590221" cy="8341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38100</xdr:colOff>
      <xdr:row>1</xdr:row>
      <xdr:rowOff>9525</xdr:rowOff>
    </xdr:from>
    <xdr:to>
      <xdr:col>3</xdr:col>
      <xdr:colOff>57150</xdr:colOff>
      <xdr:row>3</xdr:row>
      <xdr:rowOff>92075</xdr:rowOff>
    </xdr:to>
    <xdr:pic>
      <xdr:nvPicPr>
        <xdr:cNvPr id="3169" name="Picture 1">
          <a:extLst>
            <a:ext uri="{FF2B5EF4-FFF2-40B4-BE49-F238E27FC236}">
              <a16:creationId xmlns:a16="http://schemas.microsoft.com/office/drawing/2014/main" id="{00000000-0008-0000-0100-000061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1475" y="26670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28575</xdr:colOff>
      <xdr:row>0</xdr:row>
      <xdr:rowOff>219075</xdr:rowOff>
    </xdr:from>
    <xdr:to>
      <xdr:col>3</xdr:col>
      <xdr:colOff>53975</xdr:colOff>
      <xdr:row>3</xdr:row>
      <xdr:rowOff>38100</xdr:rowOff>
    </xdr:to>
    <xdr:pic>
      <xdr:nvPicPr>
        <xdr:cNvPr id="4194" name="Picture 1">
          <a:extLst>
            <a:ext uri="{FF2B5EF4-FFF2-40B4-BE49-F238E27FC236}">
              <a16:creationId xmlns:a16="http://schemas.microsoft.com/office/drawing/2014/main" id="{00000000-0008-0000-0200-0000621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 y="219075"/>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0"/>
  <sheetViews>
    <sheetView tabSelected="1" workbookViewId="0">
      <selection activeCell="T13" sqref="T13"/>
    </sheetView>
  </sheetViews>
  <sheetFormatPr defaultColWidth="9.140625" defaultRowHeight="10.15" customHeight="1" x14ac:dyDescent="0.2"/>
  <cols>
    <col min="1" max="1" width="5" style="16" customWidth="1"/>
    <col min="2" max="2" width="14.7109375" style="16" customWidth="1"/>
    <col min="3" max="6" width="8.7109375" style="16" customWidth="1"/>
    <col min="7" max="7" width="10.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3" width="15.7109375" style="16" customWidth="1"/>
    <col min="14" max="14" width="15.5703125" style="16" customWidth="1"/>
    <col min="15" max="16384" width="9.140625" style="16"/>
  </cols>
  <sheetData>
    <row r="1" spans="2:26" s="1" customFormat="1" ht="20.25" customHeight="1" x14ac:dyDescent="0.25">
      <c r="B1" s="108" t="s">
        <v>44</v>
      </c>
      <c r="C1" s="108"/>
      <c r="D1" s="108"/>
      <c r="E1" s="108"/>
      <c r="F1" s="108"/>
      <c r="G1" s="108"/>
      <c r="H1" s="108"/>
      <c r="I1" s="108"/>
      <c r="J1" s="108"/>
      <c r="K1" s="108"/>
      <c r="L1" s="108"/>
      <c r="M1" s="108"/>
      <c r="N1" s="108"/>
    </row>
    <row r="2" spans="2:26" s="1" customFormat="1" ht="20.25" customHeight="1" x14ac:dyDescent="0.25">
      <c r="B2" s="109" t="s">
        <v>50</v>
      </c>
      <c r="C2" s="109"/>
      <c r="D2" s="109"/>
      <c r="E2" s="109"/>
      <c r="F2" s="109"/>
      <c r="G2" s="109"/>
      <c r="H2" s="109"/>
      <c r="I2" s="109"/>
      <c r="J2" s="109"/>
      <c r="K2" s="109"/>
      <c r="L2" s="109"/>
      <c r="M2" s="109"/>
      <c r="N2" s="109"/>
      <c r="O2" s="3"/>
      <c r="P2" s="3"/>
      <c r="Q2" s="4"/>
      <c r="R2" s="3"/>
      <c r="S2" s="3"/>
      <c r="T2" s="3"/>
      <c r="U2" s="3"/>
      <c r="V2" s="3"/>
      <c r="W2" s="3"/>
      <c r="X2" s="3"/>
      <c r="Y2" s="3"/>
      <c r="Z2" s="3"/>
    </row>
    <row r="3" spans="2:26" s="1" customFormat="1" ht="20.25" customHeight="1" x14ac:dyDescent="0.25">
      <c r="G3" s="5" t="s">
        <v>0</v>
      </c>
      <c r="H3" s="6">
        <v>46023</v>
      </c>
      <c r="I3" s="2" t="s">
        <v>1</v>
      </c>
      <c r="J3" s="6">
        <v>46387</v>
      </c>
      <c r="L3" s="7"/>
      <c r="O3" s="8"/>
      <c r="P3" s="8"/>
      <c r="Q3" s="9"/>
      <c r="R3" s="20"/>
      <c r="S3" s="3"/>
      <c r="T3" s="3"/>
      <c r="U3" s="3"/>
      <c r="V3" s="3"/>
      <c r="W3" s="8"/>
      <c r="X3" s="10"/>
      <c r="Y3" s="11"/>
      <c r="Z3" s="11"/>
    </row>
    <row r="4" spans="2:26" s="1" customFormat="1" ht="20.25" customHeight="1" x14ac:dyDescent="0.25">
      <c r="B4" s="8"/>
      <c r="C4" s="8"/>
      <c r="D4" s="8"/>
      <c r="E4" s="8"/>
      <c r="F4" s="8"/>
      <c r="G4" s="3"/>
      <c r="H4" s="3"/>
      <c r="I4" s="12"/>
      <c r="J4" s="3"/>
      <c r="K4" s="8"/>
      <c r="L4" s="10"/>
      <c r="M4" s="11"/>
      <c r="N4" s="13"/>
      <c r="O4" s="11"/>
      <c r="P4" s="11"/>
      <c r="Q4" s="11"/>
      <c r="R4" s="11"/>
    </row>
    <row r="5" spans="2:26" s="1" customFormat="1" ht="20.25" customHeight="1" x14ac:dyDescent="0.25">
      <c r="B5" s="110" t="s">
        <v>2</v>
      </c>
      <c r="C5" s="110"/>
      <c r="D5" s="111" t="s">
        <v>45</v>
      </c>
      <c r="E5" s="111"/>
      <c r="F5" s="111"/>
      <c r="G5" s="111"/>
      <c r="H5" s="14"/>
      <c r="I5" s="15"/>
      <c r="J5" s="15"/>
      <c r="K5" s="110" t="s">
        <v>3</v>
      </c>
      <c r="L5" s="110"/>
      <c r="M5" s="111" t="s">
        <v>38</v>
      </c>
      <c r="N5" s="111"/>
    </row>
    <row r="6" spans="2:26" s="1" customFormat="1" ht="20.25" customHeight="1" x14ac:dyDescent="0.25">
      <c r="B6" s="110" t="s">
        <v>4</v>
      </c>
      <c r="C6" s="110"/>
      <c r="D6" s="111" t="s">
        <v>39</v>
      </c>
      <c r="E6" s="111"/>
      <c r="F6" s="111"/>
      <c r="G6" s="111"/>
      <c r="H6" s="14"/>
      <c r="I6" s="11"/>
      <c r="J6" s="11"/>
      <c r="K6" s="110" t="s">
        <v>5</v>
      </c>
      <c r="L6" s="110"/>
      <c r="M6" s="111" t="s">
        <v>61</v>
      </c>
      <c r="N6" s="111"/>
    </row>
    <row r="7" spans="2:26" ht="21" customHeight="1" thickBot="1" x14ac:dyDescent="0.25">
      <c r="C7" s="17"/>
      <c r="D7" s="17"/>
      <c r="E7" s="17"/>
    </row>
    <row r="8" spans="2:26" s="24" customFormat="1" ht="15.75" customHeight="1" thickBot="1" x14ac:dyDescent="0.25">
      <c r="B8" s="118" t="s">
        <v>6</v>
      </c>
      <c r="C8" s="119"/>
      <c r="D8" s="119"/>
      <c r="E8" s="119"/>
      <c r="F8" s="119"/>
      <c r="G8" s="119"/>
      <c r="H8" s="25" t="s">
        <v>7</v>
      </c>
      <c r="I8" s="120" t="s">
        <v>8</v>
      </c>
      <c r="J8" s="120"/>
      <c r="K8" s="120"/>
      <c r="L8" s="121"/>
      <c r="M8" s="122" t="s">
        <v>9</v>
      </c>
      <c r="N8" s="121"/>
    </row>
    <row r="9" spans="2:26" s="24" customFormat="1" ht="15.75" customHeight="1" x14ac:dyDescent="0.25">
      <c r="B9" s="26"/>
      <c r="C9" s="27"/>
      <c r="D9" s="27"/>
      <c r="E9" s="27"/>
      <c r="F9" s="27"/>
      <c r="G9" s="28"/>
      <c r="H9" s="29"/>
      <c r="I9" s="30"/>
      <c r="J9" s="30"/>
      <c r="K9" s="30"/>
      <c r="L9" s="21"/>
      <c r="M9" s="31" t="s">
        <v>10</v>
      </c>
      <c r="N9" s="32" t="s">
        <v>11</v>
      </c>
    </row>
    <row r="10" spans="2:26" s="24" customFormat="1" ht="15.75" customHeight="1" thickBot="1" x14ac:dyDescent="0.3">
      <c r="B10" s="33" t="s">
        <v>12</v>
      </c>
      <c r="C10" s="34" t="s">
        <v>13</v>
      </c>
      <c r="D10" s="35" t="s">
        <v>36</v>
      </c>
      <c r="E10" s="34"/>
      <c r="F10" s="34" t="s">
        <v>14</v>
      </c>
      <c r="G10" s="34" t="s">
        <v>15</v>
      </c>
      <c r="H10" s="36" t="s">
        <v>16</v>
      </c>
      <c r="I10" s="37" t="s">
        <v>17</v>
      </c>
      <c r="J10" s="37" t="s">
        <v>18</v>
      </c>
      <c r="K10" s="37" t="s">
        <v>19</v>
      </c>
      <c r="L10" s="22" t="s">
        <v>20</v>
      </c>
      <c r="M10" s="38" t="s">
        <v>21</v>
      </c>
      <c r="N10" s="39" t="s">
        <v>22</v>
      </c>
    </row>
    <row r="11" spans="2:26" s="24" customFormat="1" ht="15.75" customHeight="1" x14ac:dyDescent="0.2">
      <c r="B11" s="40"/>
      <c r="C11" s="41"/>
      <c r="D11" s="41"/>
      <c r="E11" s="41"/>
      <c r="F11" s="41"/>
      <c r="G11" s="42"/>
      <c r="H11" s="43"/>
      <c r="I11" s="44"/>
      <c r="J11" s="45"/>
      <c r="K11" s="46"/>
      <c r="L11" s="104"/>
      <c r="M11" s="48"/>
      <c r="N11" s="49"/>
      <c r="R11" s="50"/>
    </row>
    <row r="12" spans="2:26" s="24" customFormat="1" ht="15.75" customHeight="1" x14ac:dyDescent="0.2">
      <c r="B12" s="51">
        <v>46023</v>
      </c>
      <c r="C12" s="52">
        <f>('Standard 2026'!C12)+'Premium 2026'!C12</f>
        <v>286</v>
      </c>
      <c r="D12" s="52">
        <f>'Standard 2026'!D12+'Premium 2026'!D12</f>
        <v>140</v>
      </c>
      <c r="E12" s="52"/>
      <c r="F12" s="52">
        <f>'Standard 2026'!F12+'Premium 2026'!F12</f>
        <v>165</v>
      </c>
      <c r="G12" s="53">
        <f t="shared" ref="G12:G17" si="0">SUM(C12:F12)</f>
        <v>591</v>
      </c>
      <c r="H12" s="54">
        <f>'Standard 2026'!H12+'Premium 2026'!H12</f>
        <v>3073.2000000000003</v>
      </c>
      <c r="I12" s="55">
        <f>VALUE('Standard 2026'!I12)+'Premium 2026'!I12</f>
        <v>33836.6</v>
      </c>
      <c r="J12" s="23">
        <v>0</v>
      </c>
      <c r="K12" s="23">
        <v>0</v>
      </c>
      <c r="L12" s="105">
        <v>0</v>
      </c>
      <c r="M12" s="55">
        <f>I12-K12</f>
        <v>33836.6</v>
      </c>
      <c r="N12" s="93">
        <f>K12/I12</f>
        <v>0</v>
      </c>
      <c r="Q12" s="50"/>
      <c r="R12" s="50"/>
    </row>
    <row r="13" spans="2:26" s="24" customFormat="1" ht="15.75" customHeight="1" x14ac:dyDescent="0.2">
      <c r="B13" s="51">
        <v>46054</v>
      </c>
      <c r="C13" s="52">
        <f>('Standard 2026'!C13)+'Premium 2026'!C13</f>
        <v>288</v>
      </c>
      <c r="D13" s="52">
        <f>'Standard 2026'!D13+'Premium 2026'!D13</f>
        <v>140</v>
      </c>
      <c r="E13" s="52"/>
      <c r="F13" s="52">
        <f>'Standard 2026'!F13+'Premium 2026'!F13</f>
        <v>163</v>
      </c>
      <c r="G13" s="53">
        <f t="shared" si="0"/>
        <v>591</v>
      </c>
      <c r="H13" s="54">
        <f>'Standard 2026'!H13+'Premium 2026'!H13</f>
        <v>3073.2</v>
      </c>
      <c r="I13" s="55">
        <f>VALUE('Standard 2026'!I13)+'Premium 2026'!I13</f>
        <v>33695.990000000005</v>
      </c>
      <c r="J13" s="23">
        <f>VALUE('Standard 2026'!J13)+'Premium 2026'!J13</f>
        <v>45003.130000000005</v>
      </c>
      <c r="K13" s="23">
        <f>VALUE('Standard 2026'!K13)+'Premium 2026'!K13</f>
        <v>23970.15</v>
      </c>
      <c r="L13" s="103">
        <f>VALUE('Standard 2026'!L13)+'Premium 2026'!L13</f>
        <v>85</v>
      </c>
      <c r="M13" s="55">
        <f t="shared" ref="M13:M16" si="1">I13-K13</f>
        <v>9725.8400000000038</v>
      </c>
      <c r="N13" s="93">
        <f t="shared" ref="N13:N16" si="2">K13/I13</f>
        <v>0.71136506153996359</v>
      </c>
      <c r="Q13" s="56"/>
      <c r="R13" s="50"/>
    </row>
    <row r="14" spans="2:26" s="24" customFormat="1" ht="15.75" customHeight="1" x14ac:dyDescent="0.2">
      <c r="B14" s="51">
        <v>46082</v>
      </c>
      <c r="C14" s="52">
        <f>('Standard 2026'!C14)+'Premium 2026'!C14</f>
        <v>289</v>
      </c>
      <c r="D14" s="52">
        <f>'Standard 2026'!D14+'Premium 2026'!D14</f>
        <v>139</v>
      </c>
      <c r="E14" s="52"/>
      <c r="F14" s="52">
        <f>'Standard 2026'!F14+'Premium 2026'!F14</f>
        <v>163</v>
      </c>
      <c r="G14" s="53">
        <f t="shared" si="0"/>
        <v>591</v>
      </c>
      <c r="H14" s="54">
        <f>'Standard 2026'!H14+'Premium 2026'!H14</f>
        <v>3073.2000000000003</v>
      </c>
      <c r="I14" s="55">
        <f>VALUE('Standard 2026'!I14)+'Premium 2026'!I14</f>
        <v>33649.120000000003</v>
      </c>
      <c r="J14" s="23">
        <f>VALUE('Standard 2026'!J14)+'Premium 2026'!J14</f>
        <v>194327.25</v>
      </c>
      <c r="K14" s="23">
        <f>VALUE('Standard 2026'!K14)+'Premium 2026'!K14</f>
        <v>77883.520000000004</v>
      </c>
      <c r="L14" s="103">
        <f>VALUE('Standard 2026'!L14)+'Premium 2026'!L14</f>
        <v>334</v>
      </c>
      <c r="M14" s="55">
        <f t="shared" si="1"/>
        <v>-44234.400000000001</v>
      </c>
      <c r="N14" s="93">
        <f t="shared" si="2"/>
        <v>2.3145782118521971</v>
      </c>
      <c r="Q14" s="56"/>
      <c r="R14" s="50"/>
    </row>
    <row r="15" spans="2:26" s="24" customFormat="1" ht="15.75" customHeight="1" x14ac:dyDescent="0.2">
      <c r="B15" s="51">
        <v>46113</v>
      </c>
      <c r="C15" s="52">
        <f>('Standard 2026'!C15)+'Premium 2026'!C15</f>
        <v>286</v>
      </c>
      <c r="D15" s="52">
        <f>'Standard 2026'!D15+'Premium 2026'!D15</f>
        <v>139</v>
      </c>
      <c r="E15" s="52"/>
      <c r="F15" s="52">
        <f>'Standard 2026'!F15+'Premium 2026'!F15</f>
        <v>163</v>
      </c>
      <c r="G15" s="53">
        <f t="shared" si="0"/>
        <v>588</v>
      </c>
      <c r="H15" s="54">
        <f>'Standard 2026'!H15+'Premium 2026'!H15</f>
        <v>3057.6000000000004</v>
      </c>
      <c r="I15" s="55">
        <f>VALUE('Standard 2026'!I15)+'Premium 2026'!I15</f>
        <v>33524.380000000005</v>
      </c>
      <c r="J15" s="23">
        <f>VALUE('Standard 2026'!J15)+'Premium 2026'!J15</f>
        <v>114024.48</v>
      </c>
      <c r="K15" s="23">
        <f>VALUE('Standard 2026'!K15)+'Premium 2026'!K15</f>
        <v>38498.97</v>
      </c>
      <c r="L15" s="103">
        <f>VALUE('Standard 2026'!L15)+'Premium 2026'!L15</f>
        <v>205</v>
      </c>
      <c r="M15" s="55">
        <f t="shared" si="1"/>
        <v>-4974.5899999999965</v>
      </c>
      <c r="N15" s="93">
        <f t="shared" si="2"/>
        <v>1.1483872334104313</v>
      </c>
      <c r="Q15" s="56"/>
      <c r="R15" s="50"/>
    </row>
    <row r="16" spans="2:26" s="24" customFormat="1" ht="15.75" customHeight="1" x14ac:dyDescent="0.2">
      <c r="B16" s="51">
        <v>46143</v>
      </c>
      <c r="C16" s="52">
        <f>('Standard 2026'!C16)+'Premium 2026'!C16</f>
        <v>284</v>
      </c>
      <c r="D16" s="52">
        <f>'Standard 2026'!D16+'Premium 2026'!D16</f>
        <v>110</v>
      </c>
      <c r="E16" s="52"/>
      <c r="F16" s="52">
        <f>'Standard 2026'!F16+'Premium 2026'!F16</f>
        <v>160</v>
      </c>
      <c r="G16" s="53">
        <f t="shared" si="0"/>
        <v>554</v>
      </c>
      <c r="H16" s="54">
        <f>'Standard 2026'!H16+'Premium 2026'!H16</f>
        <v>2880.8</v>
      </c>
      <c r="I16" s="55">
        <f>VALUE('Standard 2026'!I16)+'Premium 2026'!I16</f>
        <v>31042.46</v>
      </c>
      <c r="J16" s="23">
        <f>VALUE('Standard 2026'!J16)+'Premium 2026'!J16</f>
        <v>87582.38</v>
      </c>
      <c r="K16" s="23">
        <f>VALUE('Standard 2026'!K16)+'Premium 2026'!K16</f>
        <v>40506.990000000005</v>
      </c>
      <c r="L16" s="103">
        <f>VALUE('Standard 2026'!L16)+'Premium 2026'!L16</f>
        <v>201</v>
      </c>
      <c r="M16" s="55">
        <f t="shared" si="1"/>
        <v>-9464.5300000000061</v>
      </c>
      <c r="N16" s="93">
        <f t="shared" si="2"/>
        <v>1.3048898186548361</v>
      </c>
      <c r="Q16" s="56"/>
      <c r="R16" s="50"/>
    </row>
    <row r="17" spans="2:18" s="24" customFormat="1" ht="15.75" customHeight="1" x14ac:dyDescent="0.2">
      <c r="B17" s="51">
        <v>46174</v>
      </c>
      <c r="C17" s="52">
        <f>('Standard 2026'!C17)+'Premium 2026'!C17</f>
        <v>283</v>
      </c>
      <c r="D17" s="52">
        <f>'Standard 2026'!D17+'Premium 2026'!D17</f>
        <v>144</v>
      </c>
      <c r="E17" s="52"/>
      <c r="F17" s="52">
        <f>'Standard 2026'!F17+'Premium 2026'!F17</f>
        <v>159</v>
      </c>
      <c r="G17" s="53">
        <f t="shared" si="0"/>
        <v>586</v>
      </c>
      <c r="H17" s="54">
        <f>'Standard 2026'!H17+'Premium 2026'!H17</f>
        <v>3047.2</v>
      </c>
      <c r="I17" s="55">
        <f>VALUE('Standard 2026'!I17)+'Premium 2026'!I17</f>
        <v>33323.5</v>
      </c>
      <c r="J17" s="23">
        <f>VALUE('Standard 2026'!J17)+'Premium 2026'!J17</f>
        <v>73496.84</v>
      </c>
      <c r="K17" s="23">
        <f>VALUE('Standard 2026'!K17)+'Premium 2026'!K17</f>
        <v>33455.909999999996</v>
      </c>
      <c r="L17" s="103">
        <f>VALUE('Standard 2026'!L17)+'Premium 2026'!L17</f>
        <v>142</v>
      </c>
      <c r="M17" s="55">
        <f t="shared" ref="M17" si="3">I17-K17</f>
        <v>-132.40999999999622</v>
      </c>
      <c r="N17" s="93">
        <f t="shared" ref="N17" si="4">K17/I17</f>
        <v>1.0039734721742912</v>
      </c>
      <c r="Q17" s="56"/>
      <c r="R17" s="50"/>
    </row>
    <row r="18" spans="2:18" s="24" customFormat="1" ht="15.75" customHeight="1" x14ac:dyDescent="0.2">
      <c r="B18" s="51">
        <v>46204</v>
      </c>
      <c r="C18" s="52"/>
      <c r="D18" s="52"/>
      <c r="E18" s="52"/>
      <c r="F18" s="52"/>
      <c r="G18" s="53"/>
      <c r="H18" s="54"/>
      <c r="I18" s="55"/>
      <c r="J18" s="23"/>
      <c r="K18" s="23"/>
      <c r="L18" s="105"/>
      <c r="M18" s="55"/>
      <c r="N18" s="93"/>
      <c r="Q18" s="56"/>
      <c r="R18" s="50"/>
    </row>
    <row r="19" spans="2:18" s="24" customFormat="1" ht="15.75" customHeight="1" x14ac:dyDescent="0.2">
      <c r="B19" s="51">
        <v>46235</v>
      </c>
      <c r="C19" s="52"/>
      <c r="D19" s="52"/>
      <c r="E19" s="52"/>
      <c r="F19" s="52"/>
      <c r="G19" s="53"/>
      <c r="H19" s="54"/>
      <c r="I19" s="55"/>
      <c r="J19" s="23"/>
      <c r="K19" s="23"/>
      <c r="L19" s="105"/>
      <c r="M19" s="55"/>
      <c r="N19" s="93"/>
      <c r="Q19" s="56"/>
      <c r="R19" s="50"/>
    </row>
    <row r="20" spans="2:18" s="24" customFormat="1" ht="15.75" customHeight="1" x14ac:dyDescent="0.2">
      <c r="B20" s="51">
        <v>46266</v>
      </c>
      <c r="C20" s="52"/>
      <c r="D20" s="52"/>
      <c r="E20" s="52"/>
      <c r="F20" s="52"/>
      <c r="G20" s="53"/>
      <c r="H20" s="54"/>
      <c r="I20" s="55"/>
      <c r="J20" s="23"/>
      <c r="K20" s="23"/>
      <c r="L20" s="106"/>
      <c r="M20" s="55"/>
      <c r="N20" s="102"/>
      <c r="Q20" s="56"/>
      <c r="R20" s="50"/>
    </row>
    <row r="21" spans="2:18" s="24" customFormat="1" ht="15.75" customHeight="1" x14ac:dyDescent="0.2">
      <c r="B21" s="51">
        <v>46296</v>
      </c>
      <c r="C21" s="52"/>
      <c r="D21" s="52"/>
      <c r="E21" s="52"/>
      <c r="F21" s="52"/>
      <c r="G21" s="53"/>
      <c r="H21" s="54"/>
      <c r="I21" s="55"/>
      <c r="J21" s="23"/>
      <c r="K21" s="23"/>
      <c r="L21" s="106"/>
      <c r="M21" s="55"/>
      <c r="N21" s="102"/>
      <c r="Q21" s="56"/>
      <c r="R21" s="50"/>
    </row>
    <row r="22" spans="2:18" s="24" customFormat="1" ht="15.75" customHeight="1" x14ac:dyDescent="0.2">
      <c r="B22" s="51">
        <v>46327</v>
      </c>
      <c r="C22" s="52"/>
      <c r="D22" s="52"/>
      <c r="E22" s="52"/>
      <c r="F22" s="52"/>
      <c r="G22" s="53"/>
      <c r="H22" s="54"/>
      <c r="I22" s="55"/>
      <c r="J22" s="23"/>
      <c r="K22" s="23"/>
      <c r="L22" s="106"/>
      <c r="M22" s="55"/>
      <c r="N22" s="102"/>
      <c r="Q22" s="56"/>
      <c r="R22" s="50"/>
    </row>
    <row r="23" spans="2:18" s="24" customFormat="1" ht="15.75" customHeight="1" x14ac:dyDescent="0.2">
      <c r="B23" s="51">
        <v>46357</v>
      </c>
      <c r="C23" s="52"/>
      <c r="D23" s="52"/>
      <c r="E23" s="52"/>
      <c r="F23" s="52"/>
      <c r="G23" s="53"/>
      <c r="H23" s="54"/>
      <c r="I23" s="55"/>
      <c r="J23" s="23"/>
      <c r="K23" s="23"/>
      <c r="L23" s="106"/>
      <c r="M23" s="55"/>
      <c r="N23" s="102"/>
      <c r="Q23" s="56" t="s">
        <v>60</v>
      </c>
      <c r="R23" s="50"/>
    </row>
    <row r="24" spans="2:18" s="24" customFormat="1" ht="15.75" customHeight="1" thickBot="1" x14ac:dyDescent="0.25">
      <c r="B24" s="57"/>
      <c r="C24" s="58"/>
      <c r="D24" s="58"/>
      <c r="E24" s="58"/>
      <c r="F24" s="58"/>
      <c r="G24" s="59"/>
      <c r="H24" s="54"/>
      <c r="I24" s="61"/>
      <c r="J24" s="62"/>
      <c r="K24" s="63"/>
      <c r="L24" s="107"/>
      <c r="M24" s="65"/>
      <c r="N24" s="66"/>
    </row>
    <row r="25" spans="2:18" s="73" customFormat="1" ht="15.75" customHeight="1" thickBot="1" x14ac:dyDescent="0.3">
      <c r="B25" s="67" t="s">
        <v>23</v>
      </c>
      <c r="C25" s="68">
        <f>AVERAGEIF(C12:C23,"&gt;0")</f>
        <v>286</v>
      </c>
      <c r="D25" s="68">
        <f>AVERAGEIF(D12:D23,"&gt;0")</f>
        <v>135.33333333333334</v>
      </c>
      <c r="E25" s="68"/>
      <c r="F25" s="68">
        <f>AVERAGEIF(F12:F23,"&gt;0")</f>
        <v>162.16666666666666</v>
      </c>
      <c r="G25" s="68">
        <f>AVERAGEIF(G12:G23,"&gt;0")</f>
        <v>583.5</v>
      </c>
      <c r="H25" s="69">
        <f>SUM(H11:H23)</f>
        <v>18205.2</v>
      </c>
      <c r="I25" s="69">
        <f>SUM(I11:I23)</f>
        <v>199072.05</v>
      </c>
      <c r="J25" s="70">
        <f>SUM(J11:J23)</f>
        <v>514434.07999999996</v>
      </c>
      <c r="K25" s="71">
        <f>SUM(K11:K23)</f>
        <v>214315.54</v>
      </c>
      <c r="L25" s="90">
        <f>SUM(L12:L23)</f>
        <v>967</v>
      </c>
      <c r="M25" s="69">
        <f>SUM(M12:M23)</f>
        <v>-15243.489999999998</v>
      </c>
      <c r="N25" s="92">
        <f>K25/I25</f>
        <v>1.0765727283162052</v>
      </c>
    </row>
    <row r="26" spans="2:18" s="24" customFormat="1" ht="15.75" customHeight="1" x14ac:dyDescent="0.2">
      <c r="J26" s="74"/>
      <c r="L26" s="75"/>
    </row>
    <row r="27" spans="2:18" s="24" customFormat="1" ht="15.75" customHeight="1" x14ac:dyDescent="0.25">
      <c r="H27" s="76"/>
      <c r="J27" s="126" t="s">
        <v>25</v>
      </c>
      <c r="K27" s="127"/>
      <c r="L27" s="127"/>
      <c r="M27" s="127"/>
      <c r="N27" s="128"/>
    </row>
    <row r="28" spans="2:18" s="24" customFormat="1" ht="15.75" customHeight="1" x14ac:dyDescent="0.2">
      <c r="H28" s="74"/>
      <c r="J28" s="115" t="s">
        <v>28</v>
      </c>
      <c r="K28" s="116"/>
      <c r="L28" s="116"/>
      <c r="M28" s="117"/>
      <c r="N28" s="79">
        <f>J25/L25</f>
        <v>531.9897414684591</v>
      </c>
    </row>
    <row r="29" spans="2:18" s="24" customFormat="1" ht="15.75" customHeight="1" x14ac:dyDescent="0.2">
      <c r="H29" s="82"/>
      <c r="J29" s="115" t="s">
        <v>30</v>
      </c>
      <c r="K29" s="116"/>
      <c r="L29" s="116"/>
      <c r="M29" s="117"/>
      <c r="N29" s="79">
        <f>K25/L25</f>
        <v>221.62930713547053</v>
      </c>
    </row>
    <row r="30" spans="2:18" s="24" customFormat="1" ht="15.75" customHeight="1" x14ac:dyDescent="0.2">
      <c r="H30" s="82"/>
      <c r="J30" s="115" t="s">
        <v>31</v>
      </c>
      <c r="K30" s="116"/>
      <c r="L30" s="116"/>
      <c r="M30" s="117"/>
      <c r="N30" s="84">
        <f>((L25/COUNTIF(G12:G23,"&gt;0"))*12)/G25</f>
        <v>3.3144815766923736</v>
      </c>
    </row>
    <row r="31" spans="2:18" s="24" customFormat="1" ht="15.75" customHeight="1" x14ac:dyDescent="0.2">
      <c r="H31" s="82"/>
      <c r="J31" s="115" t="s">
        <v>32</v>
      </c>
      <c r="K31" s="116"/>
      <c r="L31" s="116"/>
      <c r="M31" s="117"/>
      <c r="N31" s="85">
        <f>K25/J25</f>
        <v>0.4166044753489116</v>
      </c>
    </row>
    <row r="32" spans="2:18" s="24" customFormat="1" ht="15.75" customHeight="1" x14ac:dyDescent="0.2">
      <c r="H32" s="82"/>
      <c r="J32" s="115" t="s">
        <v>34</v>
      </c>
      <c r="K32" s="116"/>
      <c r="L32" s="116"/>
      <c r="M32" s="117"/>
      <c r="N32" s="79">
        <f>K25/G25/(COUNTIF(G12:G23,"&gt;0"))</f>
        <v>61.215521279634395</v>
      </c>
    </row>
    <row r="33" spans="2:14" s="24" customFormat="1" ht="15.75" customHeight="1" x14ac:dyDescent="0.2">
      <c r="H33" s="82"/>
      <c r="J33" s="87"/>
      <c r="K33" s="87"/>
      <c r="L33" s="87"/>
      <c r="M33" s="87"/>
      <c r="N33" s="88"/>
    </row>
    <row r="34" spans="2:14" s="24" customFormat="1" ht="15.75" customHeight="1" x14ac:dyDescent="0.25">
      <c r="H34" s="91"/>
      <c r="J34" s="164" t="s">
        <v>46</v>
      </c>
      <c r="K34" s="165"/>
      <c r="L34" s="165"/>
      <c r="M34" s="165"/>
      <c r="N34" s="166"/>
    </row>
    <row r="35" spans="2:14" s="24" customFormat="1" ht="15.75" customHeight="1" x14ac:dyDescent="0.2">
      <c r="J35" s="161" t="s">
        <v>28</v>
      </c>
      <c r="K35" s="162"/>
      <c r="L35" s="162"/>
      <c r="M35" s="163"/>
      <c r="N35" s="94">
        <v>418.44</v>
      </c>
    </row>
    <row r="36" spans="2:14" s="24" customFormat="1" ht="15.75" customHeight="1" x14ac:dyDescent="0.25">
      <c r="H36" s="76"/>
      <c r="J36" s="161" t="s">
        <v>30</v>
      </c>
      <c r="K36" s="162"/>
      <c r="L36" s="162"/>
      <c r="M36" s="163"/>
      <c r="N36" s="94">
        <v>262.25</v>
      </c>
    </row>
    <row r="37" spans="2:14" s="24" customFormat="1" ht="15.75" customHeight="1" x14ac:dyDescent="0.2">
      <c r="H37" s="89"/>
      <c r="J37" s="161" t="s">
        <v>31</v>
      </c>
      <c r="K37" s="162"/>
      <c r="L37" s="162"/>
      <c r="M37" s="163"/>
      <c r="N37" s="95">
        <v>2.64</v>
      </c>
    </row>
    <row r="38" spans="2:14" s="24" customFormat="1" ht="15.75" customHeight="1" x14ac:dyDescent="0.2">
      <c r="H38" s="89"/>
      <c r="J38" s="161" t="s">
        <v>32</v>
      </c>
      <c r="K38" s="162"/>
      <c r="L38" s="162"/>
      <c r="M38" s="163"/>
      <c r="N38" s="96">
        <v>0.62670000000000003</v>
      </c>
    </row>
    <row r="39" spans="2:14" s="24" customFormat="1" ht="15.75" customHeight="1" x14ac:dyDescent="0.2">
      <c r="H39" s="89"/>
      <c r="J39" s="161" t="s">
        <v>34</v>
      </c>
      <c r="K39" s="162"/>
      <c r="L39" s="162"/>
      <c r="M39" s="163"/>
      <c r="N39" s="94">
        <v>57.63</v>
      </c>
    </row>
    <row r="40" spans="2:14" s="24" customFormat="1" ht="15.75" customHeight="1" x14ac:dyDescent="0.25">
      <c r="H40" s="89"/>
      <c r="J40" s="158" t="s">
        <v>47</v>
      </c>
      <c r="K40" s="159"/>
      <c r="L40" s="159"/>
      <c r="M40" s="160"/>
      <c r="N40" s="97">
        <v>31051.29</v>
      </c>
    </row>
    <row r="41" spans="2:14" s="24" customFormat="1" ht="15.75" customHeight="1" x14ac:dyDescent="0.2">
      <c r="H41" s="89"/>
      <c r="J41" s="74"/>
      <c r="L41" s="75"/>
    </row>
    <row r="42" spans="2:14" s="24" customFormat="1" ht="10.15" customHeight="1" x14ac:dyDescent="0.2">
      <c r="J42" s="74"/>
      <c r="L42" s="75"/>
    </row>
    <row r="43" spans="2:14" s="24" customFormat="1" ht="10.15" customHeight="1" x14ac:dyDescent="0.2">
      <c r="B43" s="146" t="s">
        <v>54</v>
      </c>
      <c r="C43" s="147"/>
      <c r="D43" s="147"/>
      <c r="E43" s="147"/>
      <c r="F43" s="147"/>
      <c r="G43" s="147"/>
      <c r="H43" s="147"/>
      <c r="I43" s="147"/>
      <c r="J43" s="147"/>
      <c r="K43" s="147"/>
      <c r="L43" s="147"/>
      <c r="M43" s="147"/>
      <c r="N43" s="148"/>
    </row>
    <row r="44" spans="2:14" s="24" customFormat="1" ht="10.15" customHeight="1" x14ac:dyDescent="0.2">
      <c r="B44" s="149"/>
      <c r="C44" s="150"/>
      <c r="D44" s="150"/>
      <c r="E44" s="150"/>
      <c r="F44" s="150"/>
      <c r="G44" s="150"/>
      <c r="H44" s="150"/>
      <c r="I44" s="150"/>
      <c r="J44" s="150"/>
      <c r="K44" s="150"/>
      <c r="L44" s="150"/>
      <c r="M44" s="150"/>
      <c r="N44" s="151"/>
    </row>
    <row r="45" spans="2:14" s="24" customFormat="1" ht="10.15" customHeight="1" x14ac:dyDescent="0.2">
      <c r="B45" s="149"/>
      <c r="C45" s="150"/>
      <c r="D45" s="150"/>
      <c r="E45" s="150"/>
      <c r="F45" s="150"/>
      <c r="G45" s="150"/>
      <c r="H45" s="150"/>
      <c r="I45" s="150"/>
      <c r="J45" s="150"/>
      <c r="K45" s="150"/>
      <c r="L45" s="150"/>
      <c r="M45" s="150"/>
      <c r="N45" s="151"/>
    </row>
    <row r="46" spans="2:14" s="24" customFormat="1" ht="10.15" customHeight="1" x14ac:dyDescent="0.2">
      <c r="B46" s="149"/>
      <c r="C46" s="150"/>
      <c r="D46" s="150"/>
      <c r="E46" s="150"/>
      <c r="F46" s="150"/>
      <c r="G46" s="150"/>
      <c r="H46" s="150"/>
      <c r="I46" s="150"/>
      <c r="J46" s="150"/>
      <c r="K46" s="150"/>
      <c r="L46" s="150"/>
      <c r="M46" s="150"/>
      <c r="N46" s="151"/>
    </row>
    <row r="47" spans="2:14" s="24" customFormat="1" ht="10.15" customHeight="1" x14ac:dyDescent="0.2">
      <c r="B47" s="149"/>
      <c r="C47" s="150"/>
      <c r="D47" s="150"/>
      <c r="E47" s="150"/>
      <c r="F47" s="150"/>
      <c r="G47" s="150"/>
      <c r="H47" s="150"/>
      <c r="I47" s="150"/>
      <c r="J47" s="150"/>
      <c r="K47" s="150"/>
      <c r="L47" s="150"/>
      <c r="M47" s="150"/>
      <c r="N47" s="151"/>
    </row>
    <row r="48" spans="2:14" s="24" customFormat="1" ht="10.15" customHeight="1" x14ac:dyDescent="0.2">
      <c r="B48" s="149"/>
      <c r="C48" s="150"/>
      <c r="D48" s="150"/>
      <c r="E48" s="150"/>
      <c r="F48" s="150"/>
      <c r="G48" s="150"/>
      <c r="H48" s="150"/>
      <c r="I48" s="150"/>
      <c r="J48" s="150"/>
      <c r="K48" s="150"/>
      <c r="L48" s="150"/>
      <c r="M48" s="150"/>
      <c r="N48" s="151"/>
    </row>
    <row r="49" spans="2:14" s="24" customFormat="1" ht="10.15" customHeight="1" x14ac:dyDescent="0.2">
      <c r="B49" s="152"/>
      <c r="C49" s="153"/>
      <c r="D49" s="153"/>
      <c r="E49" s="153"/>
      <c r="F49" s="153"/>
      <c r="G49" s="153"/>
      <c r="H49" s="153"/>
      <c r="I49" s="153"/>
      <c r="J49" s="153"/>
      <c r="K49" s="153"/>
      <c r="L49" s="153"/>
      <c r="M49" s="153"/>
      <c r="N49" s="154"/>
    </row>
    <row r="50" spans="2:14" s="24" customFormat="1" ht="10.15" customHeight="1" x14ac:dyDescent="0.2">
      <c r="J50" s="74"/>
      <c r="L50" s="75"/>
    </row>
  </sheetData>
  <mergeCells count="27">
    <mergeCell ref="B43:N49"/>
    <mergeCell ref="J34:N34"/>
    <mergeCell ref="J35:M35"/>
    <mergeCell ref="J36:M36"/>
    <mergeCell ref="J37:M37"/>
    <mergeCell ref="J39:M39"/>
    <mergeCell ref="I8:L8"/>
    <mergeCell ref="M8:N8"/>
    <mergeCell ref="B8:G8"/>
    <mergeCell ref="J40:M40"/>
    <mergeCell ref="J38:M38"/>
    <mergeCell ref="J32:M32"/>
    <mergeCell ref="J27:N27"/>
    <mergeCell ref="J28:M28"/>
    <mergeCell ref="J29:M29"/>
    <mergeCell ref="J30:M30"/>
    <mergeCell ref="J31:M31"/>
    <mergeCell ref="B6:C6"/>
    <mergeCell ref="D6:G6"/>
    <mergeCell ref="B1:N1"/>
    <mergeCell ref="B2:N2"/>
    <mergeCell ref="B5:C5"/>
    <mergeCell ref="D5:G5"/>
    <mergeCell ref="K5:L5"/>
    <mergeCell ref="M5:N5"/>
    <mergeCell ref="K6:L6"/>
    <mergeCell ref="M6:N6"/>
  </mergeCells>
  <phoneticPr fontId="0" type="noConversion"/>
  <pageMargins left="0.7" right="0.7" top="0.75" bottom="0.75" header="0.3" footer="0.3"/>
  <pageSetup scale="62" orientation="landscape" r:id="rId1"/>
  <ignoredErrors>
    <ignoredError sqref="G16"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009DA-C202-4DA6-B2A9-1E96B9D4CC71}">
  <sheetPr>
    <pageSetUpPr fitToPage="1"/>
  </sheetPr>
  <dimension ref="B1:Z50"/>
  <sheetViews>
    <sheetView zoomScaleNormal="100" workbookViewId="0">
      <selection activeCell="M21" sqref="M21"/>
    </sheetView>
  </sheetViews>
  <sheetFormatPr defaultColWidth="9.140625" defaultRowHeight="10.15" customHeight="1" x14ac:dyDescent="0.2"/>
  <cols>
    <col min="1" max="1" width="5" style="16" customWidth="1"/>
    <col min="2" max="2" width="14.7109375" style="16" customWidth="1"/>
    <col min="3" max="6" width="8.7109375" style="16" customWidth="1"/>
    <col min="7" max="7" width="10.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3" width="15.7109375" style="16" customWidth="1"/>
    <col min="14" max="14" width="15.5703125" style="16" customWidth="1"/>
    <col min="15" max="16384" width="9.140625" style="16"/>
  </cols>
  <sheetData>
    <row r="1" spans="2:26" s="1" customFormat="1" ht="20.25" customHeight="1" x14ac:dyDescent="0.25">
      <c r="B1" s="108" t="s">
        <v>51</v>
      </c>
      <c r="C1" s="108"/>
      <c r="D1" s="108"/>
      <c r="E1" s="108"/>
      <c r="F1" s="108"/>
      <c r="G1" s="108"/>
      <c r="H1" s="108"/>
      <c r="I1" s="108"/>
      <c r="J1" s="108"/>
      <c r="K1" s="108"/>
      <c r="L1" s="108"/>
      <c r="M1" s="108"/>
      <c r="N1" s="108"/>
    </row>
    <row r="2" spans="2:26" s="1" customFormat="1" ht="20.25" customHeight="1" x14ac:dyDescent="0.25">
      <c r="B2" s="109" t="s">
        <v>50</v>
      </c>
      <c r="C2" s="109"/>
      <c r="D2" s="109"/>
      <c r="E2" s="109"/>
      <c r="F2" s="109"/>
      <c r="G2" s="109"/>
      <c r="H2" s="109"/>
      <c r="I2" s="109"/>
      <c r="J2" s="109"/>
      <c r="K2" s="109"/>
      <c r="L2" s="109"/>
      <c r="M2" s="109"/>
      <c r="N2" s="109"/>
      <c r="O2" s="3"/>
      <c r="P2" s="3"/>
      <c r="Q2" s="4"/>
      <c r="R2" s="3"/>
      <c r="S2" s="3"/>
      <c r="T2" s="3"/>
      <c r="U2" s="3"/>
      <c r="V2" s="3"/>
      <c r="W2" s="3"/>
      <c r="X2" s="3"/>
      <c r="Y2" s="3"/>
      <c r="Z2" s="3"/>
    </row>
    <row r="3" spans="2:26" s="1" customFormat="1" ht="20.25" customHeight="1" x14ac:dyDescent="0.25">
      <c r="G3" s="5" t="s">
        <v>0</v>
      </c>
      <c r="H3" s="6">
        <v>46023</v>
      </c>
      <c r="I3" s="2" t="s">
        <v>1</v>
      </c>
      <c r="J3" s="6">
        <v>46387</v>
      </c>
      <c r="L3" s="7"/>
      <c r="O3" s="8"/>
      <c r="P3" s="8"/>
      <c r="Q3" s="9"/>
      <c r="R3" s="20"/>
      <c r="S3" s="3"/>
      <c r="T3" s="3"/>
      <c r="U3" s="3"/>
      <c r="V3" s="3"/>
      <c r="W3" s="8"/>
      <c r="X3" s="10"/>
      <c r="Y3" s="11"/>
      <c r="Z3" s="11"/>
    </row>
    <row r="4" spans="2:26" s="1" customFormat="1" ht="20.25" customHeight="1" x14ac:dyDescent="0.25">
      <c r="B4" s="8"/>
      <c r="C4" s="8"/>
      <c r="D4" s="8"/>
      <c r="E4" s="8"/>
      <c r="F4" s="8"/>
      <c r="G4" s="3"/>
      <c r="H4" s="3"/>
      <c r="I4" s="12"/>
      <c r="J4" s="3"/>
      <c r="K4" s="8"/>
      <c r="L4" s="10"/>
      <c r="M4" s="11"/>
      <c r="N4" s="13"/>
      <c r="O4" s="11"/>
      <c r="P4" s="11"/>
      <c r="Q4" s="11"/>
      <c r="R4" s="11"/>
    </row>
    <row r="5" spans="2:26" s="1" customFormat="1" ht="20.25" customHeight="1" x14ac:dyDescent="0.25">
      <c r="B5" s="110" t="s">
        <v>2</v>
      </c>
      <c r="C5" s="110"/>
      <c r="D5" s="111" t="s">
        <v>45</v>
      </c>
      <c r="E5" s="111"/>
      <c r="F5" s="111"/>
      <c r="G5" s="111"/>
      <c r="H5" s="14"/>
      <c r="I5" s="15"/>
      <c r="J5" s="15"/>
      <c r="K5" s="110" t="s">
        <v>3</v>
      </c>
      <c r="L5" s="110"/>
      <c r="M5" s="111" t="s">
        <v>40</v>
      </c>
      <c r="N5" s="111"/>
    </row>
    <row r="6" spans="2:26" s="1" customFormat="1" ht="20.25" customHeight="1" x14ac:dyDescent="0.25">
      <c r="B6" s="110" t="s">
        <v>4</v>
      </c>
      <c r="C6" s="110"/>
      <c r="D6" s="111" t="s">
        <v>39</v>
      </c>
      <c r="E6" s="111"/>
      <c r="F6" s="111"/>
      <c r="G6" s="111"/>
      <c r="H6" s="14"/>
      <c r="I6" s="11"/>
      <c r="J6" s="11"/>
      <c r="K6" s="110" t="s">
        <v>5</v>
      </c>
      <c r="L6" s="110"/>
      <c r="M6" s="111" t="s">
        <v>53</v>
      </c>
      <c r="N6" s="111"/>
    </row>
    <row r="7" spans="2:26" ht="21" customHeight="1" thickBot="1" x14ac:dyDescent="0.25">
      <c r="C7" s="17"/>
      <c r="D7" s="17"/>
      <c r="E7" s="17"/>
    </row>
    <row r="8" spans="2:26" s="24" customFormat="1" ht="15.75" customHeight="1" thickBot="1" x14ac:dyDescent="0.25">
      <c r="B8" s="118" t="s">
        <v>6</v>
      </c>
      <c r="C8" s="119"/>
      <c r="D8" s="119"/>
      <c r="E8" s="119"/>
      <c r="F8" s="119"/>
      <c r="G8" s="119"/>
      <c r="H8" s="25" t="s">
        <v>7</v>
      </c>
      <c r="I8" s="120" t="s">
        <v>8</v>
      </c>
      <c r="J8" s="120"/>
      <c r="K8" s="120"/>
      <c r="L8" s="121"/>
      <c r="M8" s="122" t="s">
        <v>9</v>
      </c>
      <c r="N8" s="121"/>
    </row>
    <row r="9" spans="2:26" s="24" customFormat="1" ht="15.75" customHeight="1" x14ac:dyDescent="0.25">
      <c r="B9" s="26"/>
      <c r="C9" s="27"/>
      <c r="D9" s="27"/>
      <c r="E9" s="27"/>
      <c r="F9" s="27"/>
      <c r="G9" s="28"/>
      <c r="H9" s="29"/>
      <c r="I9" s="30"/>
      <c r="J9" s="30"/>
      <c r="K9" s="30"/>
      <c r="L9" s="21"/>
      <c r="M9" s="31" t="s">
        <v>10</v>
      </c>
      <c r="N9" s="32" t="s">
        <v>11</v>
      </c>
    </row>
    <row r="10" spans="2:26" s="24" customFormat="1" ht="15.75" customHeight="1" thickBot="1" x14ac:dyDescent="0.3">
      <c r="B10" s="33" t="s">
        <v>12</v>
      </c>
      <c r="C10" s="34" t="s">
        <v>13</v>
      </c>
      <c r="D10" s="35" t="s">
        <v>49</v>
      </c>
      <c r="E10" s="34"/>
      <c r="F10" s="34" t="s">
        <v>14</v>
      </c>
      <c r="G10" s="34" t="s">
        <v>15</v>
      </c>
      <c r="H10" s="36" t="s">
        <v>16</v>
      </c>
      <c r="I10" s="37" t="s">
        <v>17</v>
      </c>
      <c r="J10" s="37" t="s">
        <v>18</v>
      </c>
      <c r="K10" s="37" t="s">
        <v>19</v>
      </c>
      <c r="L10" s="22" t="s">
        <v>20</v>
      </c>
      <c r="M10" s="38" t="s">
        <v>21</v>
      </c>
      <c r="N10" s="39" t="s">
        <v>22</v>
      </c>
    </row>
    <row r="11" spans="2:26" s="24" customFormat="1" ht="15.75" customHeight="1" x14ac:dyDescent="0.2">
      <c r="B11" s="40"/>
      <c r="C11" s="41"/>
      <c r="D11" s="41"/>
      <c r="E11" s="41"/>
      <c r="F11" s="41"/>
      <c r="G11" s="42"/>
      <c r="H11" s="43"/>
      <c r="I11" s="44"/>
      <c r="J11" s="45"/>
      <c r="K11" s="46"/>
      <c r="L11" s="47"/>
      <c r="M11" s="48"/>
      <c r="N11" s="49"/>
      <c r="R11" s="50"/>
    </row>
    <row r="12" spans="2:26" s="24" customFormat="1" ht="15.75" customHeight="1" x14ac:dyDescent="0.2">
      <c r="B12" s="51">
        <f>Summary!B12</f>
        <v>46023</v>
      </c>
      <c r="C12" s="52">
        <v>185</v>
      </c>
      <c r="D12" s="52">
        <f>20+54</f>
        <v>74</v>
      </c>
      <c r="E12" s="52"/>
      <c r="F12" s="52">
        <v>73</v>
      </c>
      <c r="G12" s="53">
        <f>SUM(C12:F12)</f>
        <v>332</v>
      </c>
      <c r="H12" s="54">
        <f t="shared" ref="H12:H23" si="0">(C12*$E$29)+(D12*$E$30)+(E12*$E$31)+(F12*$E$32)</f>
        <v>1726.4</v>
      </c>
      <c r="I12" s="55">
        <f>(C12*$C$29)+(D12*$C$30)+(E12*$C$31)+(F12*$C$32)</f>
        <v>14492.349999999999</v>
      </c>
      <c r="J12" s="23">
        <v>0</v>
      </c>
      <c r="K12" s="23">
        <v>0</v>
      </c>
      <c r="L12" s="53">
        <v>0</v>
      </c>
      <c r="M12" s="55">
        <f>I12-K12</f>
        <v>14492.349999999999</v>
      </c>
      <c r="N12" s="93">
        <f>K12/I12</f>
        <v>0</v>
      </c>
      <c r="Q12" s="50"/>
      <c r="R12" s="50"/>
    </row>
    <row r="13" spans="2:26" s="24" customFormat="1" ht="15.75" customHeight="1" x14ac:dyDescent="0.2">
      <c r="B13" s="51">
        <f>Summary!B13</f>
        <v>46054</v>
      </c>
      <c r="C13" s="52">
        <v>185</v>
      </c>
      <c r="D13" s="52">
        <f>54+21</f>
        <v>75</v>
      </c>
      <c r="E13" s="52"/>
      <c r="F13" s="52">
        <v>72</v>
      </c>
      <c r="G13" s="53">
        <f t="shared" ref="G13:G23" si="1">SUM(C13:F13)</f>
        <v>332</v>
      </c>
      <c r="H13" s="54">
        <f>(C13*$E$29)+(D13*$E$30)+(E13*$E$31)+(F13*$E$32)</f>
        <v>1726.4</v>
      </c>
      <c r="I13" s="55">
        <f t="shared" ref="I13:I23" si="2">(C13*$C$29)+(D13*$C$30)+(E13*$C$31)+(F13*$C$32)</f>
        <v>14464.010000000002</v>
      </c>
      <c r="J13" s="23">
        <v>12660</v>
      </c>
      <c r="K13" s="23">
        <v>7708.65</v>
      </c>
      <c r="L13" s="53">
        <v>35</v>
      </c>
      <c r="M13" s="55">
        <f t="shared" ref="M13:M23" si="3">I13-K13</f>
        <v>6755.3600000000024</v>
      </c>
      <c r="N13" s="93">
        <f t="shared" ref="N13:N17" si="4">K13/I13</f>
        <v>0.53295386272548195</v>
      </c>
      <c r="Q13" s="56"/>
      <c r="R13" s="50"/>
    </row>
    <row r="14" spans="2:26" s="24" customFormat="1" ht="15.75" customHeight="1" x14ac:dyDescent="0.2">
      <c r="B14" s="51">
        <f>Summary!B14</f>
        <v>46082</v>
      </c>
      <c r="C14" s="52">
        <v>186</v>
      </c>
      <c r="D14" s="52">
        <f>54+21</f>
        <v>75</v>
      </c>
      <c r="E14" s="52"/>
      <c r="F14" s="52">
        <v>72</v>
      </c>
      <c r="G14" s="53">
        <f t="shared" si="1"/>
        <v>333</v>
      </c>
      <c r="H14" s="54">
        <f t="shared" si="0"/>
        <v>1731.6000000000001</v>
      </c>
      <c r="I14" s="55">
        <f t="shared" si="2"/>
        <v>14490.330000000002</v>
      </c>
      <c r="J14" s="23">
        <v>78330.460000000006</v>
      </c>
      <c r="K14" s="23">
        <v>32529.45</v>
      </c>
      <c r="L14" s="53">
        <v>150</v>
      </c>
      <c r="M14" s="55">
        <f t="shared" si="3"/>
        <v>-18039.12</v>
      </c>
      <c r="N14" s="93">
        <f t="shared" si="4"/>
        <v>2.2449074658755181</v>
      </c>
      <c r="Q14" s="56"/>
      <c r="R14" s="50"/>
    </row>
    <row r="15" spans="2:26" s="24" customFormat="1" ht="15.75" customHeight="1" x14ac:dyDescent="0.2">
      <c r="B15" s="51">
        <f>Summary!B15</f>
        <v>46113</v>
      </c>
      <c r="C15" s="52">
        <v>185</v>
      </c>
      <c r="D15" s="52">
        <v>76</v>
      </c>
      <c r="E15" s="52"/>
      <c r="F15" s="52">
        <v>72</v>
      </c>
      <c r="G15" s="53">
        <f t="shared" si="1"/>
        <v>333</v>
      </c>
      <c r="H15" s="54">
        <f t="shared" si="0"/>
        <v>1731.6000000000001</v>
      </c>
      <c r="I15" s="55">
        <f t="shared" si="2"/>
        <v>14515.400000000001</v>
      </c>
      <c r="J15" s="23">
        <v>37758.31</v>
      </c>
      <c r="K15" s="23">
        <v>13043.08</v>
      </c>
      <c r="L15" s="53">
        <v>83</v>
      </c>
      <c r="M15" s="55">
        <f t="shared" si="3"/>
        <v>1472.3200000000015</v>
      </c>
      <c r="N15" s="93">
        <f t="shared" si="4"/>
        <v>0.89856841699160883</v>
      </c>
      <c r="Q15" s="56"/>
      <c r="R15" s="50"/>
    </row>
    <row r="16" spans="2:26" s="24" customFormat="1" ht="15.75" customHeight="1" x14ac:dyDescent="0.2">
      <c r="B16" s="51">
        <f>Summary!B16</f>
        <v>46143</v>
      </c>
      <c r="C16" s="52">
        <v>185</v>
      </c>
      <c r="D16" s="52">
        <v>78</v>
      </c>
      <c r="E16" s="52"/>
      <c r="F16" s="52">
        <v>69</v>
      </c>
      <c r="G16" s="53">
        <f t="shared" si="1"/>
        <v>332</v>
      </c>
      <c r="H16" s="54">
        <f t="shared" si="0"/>
        <v>1726.3999999999999</v>
      </c>
      <c r="I16" s="55">
        <f t="shared" si="2"/>
        <v>14378.989999999998</v>
      </c>
      <c r="J16" s="23">
        <v>35798.93</v>
      </c>
      <c r="K16" s="23">
        <v>15461.84</v>
      </c>
      <c r="L16" s="53">
        <v>72</v>
      </c>
      <c r="M16" s="55">
        <f t="shared" si="3"/>
        <v>-1082.8500000000022</v>
      </c>
      <c r="N16" s="93">
        <f t="shared" si="4"/>
        <v>1.0753077928282864</v>
      </c>
      <c r="Q16" s="56"/>
      <c r="R16" s="50"/>
    </row>
    <row r="17" spans="2:18" s="24" customFormat="1" ht="15.75" customHeight="1" x14ac:dyDescent="0.2">
      <c r="B17" s="51">
        <f>Summary!B17</f>
        <v>46174</v>
      </c>
      <c r="C17" s="52">
        <v>184</v>
      </c>
      <c r="D17" s="52">
        <v>81</v>
      </c>
      <c r="E17" s="52"/>
      <c r="F17" s="52">
        <v>69</v>
      </c>
      <c r="G17" s="53">
        <f t="shared" si="1"/>
        <v>334</v>
      </c>
      <c r="H17" s="54">
        <f t="shared" si="0"/>
        <v>1736.8</v>
      </c>
      <c r="I17" s="55">
        <f t="shared" si="2"/>
        <v>14506.84</v>
      </c>
      <c r="J17" s="23">
        <v>27988</v>
      </c>
      <c r="K17" s="23">
        <v>14249.24</v>
      </c>
      <c r="L17" s="53">
        <v>59</v>
      </c>
      <c r="M17" s="55">
        <f t="shared" si="3"/>
        <v>257.60000000000036</v>
      </c>
      <c r="N17" s="93">
        <f t="shared" si="4"/>
        <v>0.98224285923054222</v>
      </c>
      <c r="Q17" s="56"/>
      <c r="R17" s="50"/>
    </row>
    <row r="18" spans="2:18" s="24" customFormat="1" ht="15.75" customHeight="1" x14ac:dyDescent="0.2">
      <c r="B18" s="51">
        <f>Summary!B18</f>
        <v>46204</v>
      </c>
      <c r="C18" s="52"/>
      <c r="D18" s="52"/>
      <c r="E18" s="52"/>
      <c r="F18" s="52"/>
      <c r="G18" s="53">
        <f t="shared" si="1"/>
        <v>0</v>
      </c>
      <c r="H18" s="54">
        <f t="shared" si="0"/>
        <v>0</v>
      </c>
      <c r="I18" s="55">
        <f t="shared" si="2"/>
        <v>0</v>
      </c>
      <c r="J18" s="23"/>
      <c r="K18" s="23"/>
      <c r="L18" s="53"/>
      <c r="M18" s="55">
        <f t="shared" si="3"/>
        <v>0</v>
      </c>
      <c r="N18" s="93"/>
      <c r="Q18" s="56"/>
      <c r="R18" s="50"/>
    </row>
    <row r="19" spans="2:18" s="24" customFormat="1" ht="15.75" customHeight="1" x14ac:dyDescent="0.2">
      <c r="B19" s="51">
        <f>Summary!B19</f>
        <v>46235</v>
      </c>
      <c r="C19" s="52"/>
      <c r="D19" s="52"/>
      <c r="E19" s="52"/>
      <c r="F19" s="52"/>
      <c r="G19" s="53">
        <f t="shared" si="1"/>
        <v>0</v>
      </c>
      <c r="H19" s="54">
        <f t="shared" si="0"/>
        <v>0</v>
      </c>
      <c r="I19" s="55">
        <f t="shared" si="2"/>
        <v>0</v>
      </c>
      <c r="J19" s="23"/>
      <c r="K19" s="23"/>
      <c r="L19" s="53"/>
      <c r="M19" s="55">
        <f t="shared" si="3"/>
        <v>0</v>
      </c>
      <c r="N19" s="93"/>
      <c r="Q19" s="56"/>
      <c r="R19" s="50"/>
    </row>
    <row r="20" spans="2:18" s="24" customFormat="1" ht="15.75" customHeight="1" x14ac:dyDescent="0.2">
      <c r="B20" s="51">
        <f>Summary!B20</f>
        <v>46266</v>
      </c>
      <c r="C20" s="52"/>
      <c r="D20" s="52"/>
      <c r="E20" s="52"/>
      <c r="F20" s="52"/>
      <c r="G20" s="53">
        <f t="shared" si="1"/>
        <v>0</v>
      </c>
      <c r="H20" s="54">
        <f t="shared" si="0"/>
        <v>0</v>
      </c>
      <c r="I20" s="55">
        <f t="shared" si="2"/>
        <v>0</v>
      </c>
      <c r="J20" s="23"/>
      <c r="K20" s="23"/>
      <c r="L20" s="53"/>
      <c r="M20" s="55">
        <f t="shared" si="3"/>
        <v>0</v>
      </c>
      <c r="N20" s="102" t="e">
        <f t="shared" ref="N20:N23" si="5">K20/(H20+I20)</f>
        <v>#DIV/0!</v>
      </c>
      <c r="Q20" s="56"/>
      <c r="R20" s="50"/>
    </row>
    <row r="21" spans="2:18" s="24" customFormat="1" ht="15.75" customHeight="1" x14ac:dyDescent="0.2">
      <c r="B21" s="51">
        <f>Summary!B21</f>
        <v>46296</v>
      </c>
      <c r="C21" s="52"/>
      <c r="D21" s="52"/>
      <c r="E21" s="52"/>
      <c r="F21" s="52"/>
      <c r="G21" s="53">
        <f t="shared" si="1"/>
        <v>0</v>
      </c>
      <c r="H21" s="54">
        <f t="shared" si="0"/>
        <v>0</v>
      </c>
      <c r="I21" s="55">
        <f t="shared" si="2"/>
        <v>0</v>
      </c>
      <c r="J21" s="23"/>
      <c r="K21" s="23"/>
      <c r="L21" s="53"/>
      <c r="M21" s="55">
        <f t="shared" si="3"/>
        <v>0</v>
      </c>
      <c r="N21" s="102" t="e">
        <f t="shared" si="5"/>
        <v>#DIV/0!</v>
      </c>
      <c r="Q21" s="56"/>
      <c r="R21" s="50"/>
    </row>
    <row r="22" spans="2:18" s="24" customFormat="1" ht="15.75" customHeight="1" x14ac:dyDescent="0.2">
      <c r="B22" s="51">
        <f>Summary!B22</f>
        <v>46327</v>
      </c>
      <c r="C22" s="52"/>
      <c r="D22" s="52"/>
      <c r="E22" s="52"/>
      <c r="F22" s="52"/>
      <c r="G22" s="53">
        <f>SUM(C22:F22)</f>
        <v>0</v>
      </c>
      <c r="H22" s="54">
        <f t="shared" si="0"/>
        <v>0</v>
      </c>
      <c r="I22" s="55">
        <f t="shared" si="2"/>
        <v>0</v>
      </c>
      <c r="J22" s="23"/>
      <c r="K22" s="23"/>
      <c r="L22" s="53"/>
      <c r="M22" s="55">
        <f t="shared" si="3"/>
        <v>0</v>
      </c>
      <c r="N22" s="102" t="e">
        <f t="shared" si="5"/>
        <v>#DIV/0!</v>
      </c>
      <c r="Q22" s="56"/>
      <c r="R22" s="50"/>
    </row>
    <row r="23" spans="2:18" s="24" customFormat="1" ht="15.75" customHeight="1" x14ac:dyDescent="0.2">
      <c r="B23" s="51">
        <f>Summary!B23</f>
        <v>46357</v>
      </c>
      <c r="C23" s="52"/>
      <c r="D23" s="52"/>
      <c r="E23" s="52"/>
      <c r="F23" s="52"/>
      <c r="G23" s="53">
        <f t="shared" si="1"/>
        <v>0</v>
      </c>
      <c r="H23" s="54">
        <f t="shared" si="0"/>
        <v>0</v>
      </c>
      <c r="I23" s="55">
        <f t="shared" si="2"/>
        <v>0</v>
      </c>
      <c r="J23" s="23"/>
      <c r="K23" s="23"/>
      <c r="L23" s="53"/>
      <c r="M23" s="55">
        <f t="shared" si="3"/>
        <v>0</v>
      </c>
      <c r="N23" s="102" t="e">
        <f t="shared" si="5"/>
        <v>#DIV/0!</v>
      </c>
      <c r="Q23" s="56"/>
      <c r="R23" s="50"/>
    </row>
    <row r="24" spans="2:18" s="24" customFormat="1" ht="15.75" customHeight="1" thickBot="1" x14ac:dyDescent="0.25">
      <c r="B24" s="57"/>
      <c r="C24" s="58"/>
      <c r="D24" s="58"/>
      <c r="E24" s="58"/>
      <c r="F24" s="58"/>
      <c r="G24" s="59"/>
      <c r="H24" s="60"/>
      <c r="I24" s="61"/>
      <c r="J24" s="62"/>
      <c r="K24" s="63"/>
      <c r="L24" s="64"/>
      <c r="M24" s="65"/>
      <c r="N24" s="66"/>
    </row>
    <row r="25" spans="2:18" s="73" customFormat="1" ht="15.75" customHeight="1" thickBot="1" x14ac:dyDescent="0.3">
      <c r="B25" s="67" t="s">
        <v>23</v>
      </c>
      <c r="C25" s="68">
        <f>AVERAGEIF(C12:C23,"&gt;0")</f>
        <v>185</v>
      </c>
      <c r="D25" s="68">
        <f>AVERAGEIF(D12:D23,"&gt;0")</f>
        <v>76.5</v>
      </c>
      <c r="E25" s="68"/>
      <c r="F25" s="68">
        <f>AVERAGEIF(F12:F23,"&gt;0")</f>
        <v>71.166666666666671</v>
      </c>
      <c r="G25" s="68">
        <f>AVERAGEIF(G12:G23,"&gt;0")</f>
        <v>332.66666666666669</v>
      </c>
      <c r="H25" s="69">
        <f>SUM(H11:H23)</f>
        <v>10379.200000000001</v>
      </c>
      <c r="I25" s="69">
        <f>SUM(I11:I23)</f>
        <v>86847.92</v>
      </c>
      <c r="J25" s="70">
        <f>SUM(J11:J23)</f>
        <v>192535.7</v>
      </c>
      <c r="K25" s="71">
        <f>SUM(K11:K23)</f>
        <v>82992.260000000009</v>
      </c>
      <c r="L25" s="72">
        <f>SUM(L12:L23)</f>
        <v>399</v>
      </c>
      <c r="M25" s="69">
        <f>SUM(M12:M23)</f>
        <v>3855.66</v>
      </c>
      <c r="N25" s="92">
        <f>K25/I25</f>
        <v>0.95560446352658779</v>
      </c>
    </row>
    <row r="26" spans="2:18" s="24" customFormat="1" ht="15.75" customHeight="1" x14ac:dyDescent="0.2">
      <c r="J26" s="74"/>
      <c r="L26" s="75"/>
    </row>
    <row r="27" spans="2:18" s="24" customFormat="1" ht="15.75" customHeight="1" x14ac:dyDescent="0.25">
      <c r="B27" s="123" t="s">
        <v>24</v>
      </c>
      <c r="C27" s="124"/>
      <c r="D27" s="124"/>
      <c r="E27" s="124"/>
      <c r="F27" s="124"/>
      <c r="G27" s="125"/>
      <c r="H27" s="76"/>
      <c r="J27" s="126" t="s">
        <v>25</v>
      </c>
      <c r="K27" s="127"/>
      <c r="L27" s="127"/>
      <c r="M27" s="127"/>
      <c r="N27" s="128"/>
    </row>
    <row r="28" spans="2:18" s="24" customFormat="1" ht="15.75" customHeight="1" x14ac:dyDescent="0.2">
      <c r="B28" s="77"/>
      <c r="C28" s="127" t="s">
        <v>26</v>
      </c>
      <c r="D28" s="128"/>
      <c r="E28" s="129" t="s">
        <v>27</v>
      </c>
      <c r="F28" s="128"/>
      <c r="G28" s="78" t="s">
        <v>15</v>
      </c>
      <c r="H28" s="74"/>
      <c r="J28" s="115" t="s">
        <v>28</v>
      </c>
      <c r="K28" s="116"/>
      <c r="L28" s="116"/>
      <c r="M28" s="117"/>
      <c r="N28" s="79">
        <f>J25/L25</f>
        <v>482.54561403508774</v>
      </c>
    </row>
    <row r="29" spans="2:18" s="24" customFormat="1" ht="15.75" customHeight="1" x14ac:dyDescent="0.2">
      <c r="B29" s="80" t="s">
        <v>29</v>
      </c>
      <c r="C29" s="112">
        <v>26.32</v>
      </c>
      <c r="D29" s="113"/>
      <c r="E29" s="114">
        <v>5.2</v>
      </c>
      <c r="F29" s="113"/>
      <c r="G29" s="81">
        <f>C29+E29</f>
        <v>31.52</v>
      </c>
      <c r="H29" s="82"/>
      <c r="J29" s="115" t="s">
        <v>30</v>
      </c>
      <c r="K29" s="116"/>
      <c r="L29" s="116"/>
      <c r="M29" s="117"/>
      <c r="N29" s="79">
        <f>K25/L25</f>
        <v>208.00065162907271</v>
      </c>
    </row>
    <row r="30" spans="2:18" s="24" customFormat="1" ht="15.75" customHeight="1" x14ac:dyDescent="0.2">
      <c r="B30" s="83" t="str">
        <f>IF(D10="E+1","EE &amp; One","EE &amp; Spouse")</f>
        <v>EE &amp; One</v>
      </c>
      <c r="C30" s="112">
        <v>51.39</v>
      </c>
      <c r="D30" s="113"/>
      <c r="E30" s="114">
        <v>5.2</v>
      </c>
      <c r="F30" s="113"/>
      <c r="G30" s="81">
        <f>C30+E30</f>
        <v>56.59</v>
      </c>
      <c r="H30" s="82"/>
      <c r="J30" s="115" t="s">
        <v>31</v>
      </c>
      <c r="K30" s="116"/>
      <c r="L30" s="116"/>
      <c r="M30" s="117"/>
      <c r="N30" s="84">
        <f>((L25/COUNTIF(G12:G23,"&gt;0"))*12)/G25</f>
        <v>2.3987975951903806</v>
      </c>
    </row>
    <row r="31" spans="2:18" s="24" customFormat="1" ht="15.75" customHeight="1" x14ac:dyDescent="0.2">
      <c r="B31" s="80"/>
      <c r="C31" s="114"/>
      <c r="D31" s="113"/>
      <c r="E31" s="114"/>
      <c r="F31" s="113"/>
      <c r="G31" s="81"/>
      <c r="H31" s="82"/>
      <c r="J31" s="115" t="s">
        <v>32</v>
      </c>
      <c r="K31" s="116"/>
      <c r="L31" s="116"/>
      <c r="M31" s="117"/>
      <c r="N31" s="85">
        <f>K25/J25</f>
        <v>0.43104868343896746</v>
      </c>
    </row>
    <row r="32" spans="2:18" s="24" customFormat="1" ht="15.75" customHeight="1" x14ac:dyDescent="0.2">
      <c r="B32" s="80" t="s">
        <v>33</v>
      </c>
      <c r="C32" s="112">
        <v>79.73</v>
      </c>
      <c r="D32" s="113"/>
      <c r="E32" s="114">
        <v>5.2</v>
      </c>
      <c r="F32" s="113"/>
      <c r="G32" s="81">
        <f>C32+E32</f>
        <v>84.93</v>
      </c>
      <c r="H32" s="82"/>
      <c r="J32" s="115" t="s">
        <v>34</v>
      </c>
      <c r="K32" s="116"/>
      <c r="L32" s="116"/>
      <c r="M32" s="117"/>
      <c r="N32" s="79">
        <f>K25/G25/(COUNTIF(G12:G23,"&gt;0"))</f>
        <v>41.579288577154308</v>
      </c>
    </row>
    <row r="33" spans="2:14" s="24" customFormat="1" ht="15.75" customHeight="1" x14ac:dyDescent="0.2">
      <c r="C33" s="82"/>
      <c r="D33" s="82"/>
      <c r="E33" s="82"/>
      <c r="F33" s="86"/>
      <c r="G33" s="82"/>
      <c r="H33" s="82"/>
      <c r="J33" s="87"/>
      <c r="K33" s="87"/>
      <c r="L33" s="87"/>
      <c r="M33" s="87"/>
      <c r="N33" s="88"/>
    </row>
    <row r="34" spans="2:14" s="24" customFormat="1" ht="15.75" customHeight="1" thickBot="1" x14ac:dyDescent="0.25">
      <c r="J34" s="74"/>
      <c r="L34" s="75"/>
    </row>
    <row r="35" spans="2:14" s="24" customFormat="1" ht="15.75" customHeight="1" thickBot="1" x14ac:dyDescent="0.3">
      <c r="B35" s="136" t="s">
        <v>35</v>
      </c>
      <c r="C35" s="136"/>
      <c r="D35" s="136"/>
      <c r="E35" s="136"/>
      <c r="F35" s="136"/>
      <c r="G35" s="136"/>
      <c r="H35" s="76"/>
      <c r="J35" s="164" t="s">
        <v>46</v>
      </c>
      <c r="K35" s="165"/>
      <c r="L35" s="165"/>
      <c r="M35" s="165"/>
      <c r="N35" s="166"/>
    </row>
    <row r="36" spans="2:14" s="24" customFormat="1" ht="15.75" customHeight="1" x14ac:dyDescent="0.2">
      <c r="B36" s="130" t="s">
        <v>55</v>
      </c>
      <c r="C36" s="131"/>
      <c r="D36" s="131"/>
      <c r="E36" s="131"/>
      <c r="F36" s="131"/>
      <c r="G36" s="132"/>
      <c r="H36" s="89"/>
      <c r="J36" s="161" t="s">
        <v>28</v>
      </c>
      <c r="K36" s="162"/>
      <c r="L36" s="162"/>
      <c r="M36" s="163"/>
      <c r="N36" s="94">
        <v>357.17</v>
      </c>
    </row>
    <row r="37" spans="2:14" s="24" customFormat="1" ht="15.75" customHeight="1" x14ac:dyDescent="0.2">
      <c r="B37" s="155" t="s">
        <v>56</v>
      </c>
      <c r="C37" s="156"/>
      <c r="D37" s="156"/>
      <c r="E37" s="156"/>
      <c r="F37" s="156"/>
      <c r="G37" s="157"/>
      <c r="H37" s="89"/>
      <c r="J37" s="161" t="s">
        <v>30</v>
      </c>
      <c r="K37" s="162"/>
      <c r="L37" s="162"/>
      <c r="M37" s="163"/>
      <c r="N37" s="94">
        <v>216.48</v>
      </c>
    </row>
    <row r="38" spans="2:14" s="24" customFormat="1" ht="15.75" customHeight="1" x14ac:dyDescent="0.2">
      <c r="B38" s="155" t="s">
        <v>41</v>
      </c>
      <c r="C38" s="156"/>
      <c r="D38" s="156"/>
      <c r="E38" s="156"/>
      <c r="F38" s="156"/>
      <c r="G38" s="157"/>
      <c r="H38" s="89"/>
      <c r="J38" s="161" t="s">
        <v>31</v>
      </c>
      <c r="K38" s="162"/>
      <c r="L38" s="162"/>
      <c r="M38" s="163"/>
      <c r="N38" s="95">
        <v>2.0299999999999998</v>
      </c>
    </row>
    <row r="39" spans="2:14" s="24" customFormat="1" ht="15.75" customHeight="1" x14ac:dyDescent="0.2">
      <c r="B39" s="155" t="s">
        <v>42</v>
      </c>
      <c r="C39" s="156"/>
      <c r="D39" s="156"/>
      <c r="E39" s="156"/>
      <c r="F39" s="156"/>
      <c r="G39" s="157"/>
      <c r="H39" s="89"/>
      <c r="J39" s="161" t="s">
        <v>32</v>
      </c>
      <c r="K39" s="162"/>
      <c r="L39" s="162"/>
      <c r="M39" s="163"/>
      <c r="N39" s="96">
        <v>0.60609999999999997</v>
      </c>
    </row>
    <row r="40" spans="2:14" s="24" customFormat="1" ht="15.75" customHeight="1" thickBot="1" x14ac:dyDescent="0.25">
      <c r="B40" s="140" t="s">
        <v>37</v>
      </c>
      <c r="C40" s="141"/>
      <c r="D40" s="141"/>
      <c r="E40" s="141"/>
      <c r="F40" s="141"/>
      <c r="G40" s="142"/>
      <c r="H40" s="89"/>
      <c r="J40" s="161" t="s">
        <v>34</v>
      </c>
      <c r="K40" s="162"/>
      <c r="L40" s="162"/>
      <c r="M40" s="163"/>
      <c r="N40" s="94">
        <v>36.69</v>
      </c>
    </row>
    <row r="41" spans="2:14" s="24" customFormat="1" ht="15.75" x14ac:dyDescent="0.25">
      <c r="J41" s="158" t="s">
        <v>47</v>
      </c>
      <c r="K41" s="159"/>
      <c r="L41" s="159"/>
      <c r="M41" s="160"/>
      <c r="N41" s="97">
        <v>45054.81</v>
      </c>
    </row>
    <row r="42" spans="2:14" s="24" customFormat="1" ht="15" x14ac:dyDescent="0.2">
      <c r="J42" s="74"/>
      <c r="L42" s="75"/>
    </row>
    <row r="43" spans="2:14" s="24" customFormat="1" ht="10.15" customHeight="1" x14ac:dyDescent="0.2">
      <c r="B43" s="146" t="s">
        <v>54</v>
      </c>
      <c r="C43" s="147"/>
      <c r="D43" s="147"/>
      <c r="E43" s="147"/>
      <c r="F43" s="147"/>
      <c r="G43" s="147"/>
      <c r="H43" s="147"/>
      <c r="I43" s="147"/>
      <c r="J43" s="147"/>
      <c r="K43" s="147"/>
      <c r="L43" s="147"/>
      <c r="M43" s="147"/>
      <c r="N43" s="148"/>
    </row>
    <row r="44" spans="2:14" s="24" customFormat="1" ht="10.15" customHeight="1" x14ac:dyDescent="0.2">
      <c r="B44" s="149"/>
      <c r="C44" s="150"/>
      <c r="D44" s="150"/>
      <c r="E44" s="150"/>
      <c r="F44" s="150"/>
      <c r="G44" s="150"/>
      <c r="H44" s="150"/>
      <c r="I44" s="150"/>
      <c r="J44" s="150"/>
      <c r="K44" s="150"/>
      <c r="L44" s="150"/>
      <c r="M44" s="150"/>
      <c r="N44" s="151"/>
    </row>
    <row r="45" spans="2:14" s="24" customFormat="1" ht="10.15" customHeight="1" x14ac:dyDescent="0.2">
      <c r="B45" s="149"/>
      <c r="C45" s="150"/>
      <c r="D45" s="150"/>
      <c r="E45" s="150"/>
      <c r="F45" s="150"/>
      <c r="G45" s="150"/>
      <c r="H45" s="150"/>
      <c r="I45" s="150"/>
      <c r="J45" s="150"/>
      <c r="K45" s="150"/>
      <c r="L45" s="150"/>
      <c r="M45" s="150"/>
      <c r="N45" s="151"/>
    </row>
    <row r="46" spans="2:14" s="24" customFormat="1" ht="10.15" customHeight="1" x14ac:dyDescent="0.2">
      <c r="B46" s="149"/>
      <c r="C46" s="150"/>
      <c r="D46" s="150"/>
      <c r="E46" s="150"/>
      <c r="F46" s="150"/>
      <c r="G46" s="150"/>
      <c r="H46" s="150"/>
      <c r="I46" s="150"/>
      <c r="J46" s="150"/>
      <c r="K46" s="150"/>
      <c r="L46" s="150"/>
      <c r="M46" s="150"/>
      <c r="N46" s="151"/>
    </row>
    <row r="47" spans="2:14" s="24" customFormat="1" ht="10.15" customHeight="1" x14ac:dyDescent="0.2">
      <c r="B47" s="149"/>
      <c r="C47" s="150"/>
      <c r="D47" s="150"/>
      <c r="E47" s="150"/>
      <c r="F47" s="150"/>
      <c r="G47" s="150"/>
      <c r="H47" s="150"/>
      <c r="I47" s="150"/>
      <c r="J47" s="150"/>
      <c r="K47" s="150"/>
      <c r="L47" s="150"/>
      <c r="M47" s="150"/>
      <c r="N47" s="151"/>
    </row>
    <row r="48" spans="2:14" s="24" customFormat="1" ht="10.15" customHeight="1" x14ac:dyDescent="0.2">
      <c r="B48" s="149"/>
      <c r="C48" s="150"/>
      <c r="D48" s="150"/>
      <c r="E48" s="150"/>
      <c r="F48" s="150"/>
      <c r="G48" s="150"/>
      <c r="H48" s="150"/>
      <c r="I48" s="150"/>
      <c r="J48" s="150"/>
      <c r="K48" s="150"/>
      <c r="L48" s="150"/>
      <c r="M48" s="150"/>
      <c r="N48" s="151"/>
    </row>
    <row r="49" spans="2:14" s="24" customFormat="1" ht="10.15" customHeight="1" x14ac:dyDescent="0.2">
      <c r="B49" s="152"/>
      <c r="C49" s="153"/>
      <c r="D49" s="153"/>
      <c r="E49" s="153"/>
      <c r="F49" s="153"/>
      <c r="G49" s="153"/>
      <c r="H49" s="153"/>
      <c r="I49" s="153"/>
      <c r="J49" s="153"/>
      <c r="K49" s="153"/>
      <c r="L49" s="153"/>
      <c r="M49" s="153"/>
      <c r="N49" s="154"/>
    </row>
    <row r="50" spans="2:14" s="24" customFormat="1" ht="10.15" customHeight="1" x14ac:dyDescent="0.2">
      <c r="J50" s="74"/>
      <c r="L50" s="75"/>
    </row>
  </sheetData>
  <mergeCells count="44">
    <mergeCell ref="B40:G40"/>
    <mergeCell ref="J40:M40"/>
    <mergeCell ref="J41:M41"/>
    <mergeCell ref="B43:N49"/>
    <mergeCell ref="B37:G37"/>
    <mergeCell ref="J37:M37"/>
    <mergeCell ref="B38:G38"/>
    <mergeCell ref="J38:M38"/>
    <mergeCell ref="B39:G39"/>
    <mergeCell ref="J39:M39"/>
    <mergeCell ref="B36:G36"/>
    <mergeCell ref="J36:M36"/>
    <mergeCell ref="C30:D30"/>
    <mergeCell ref="E30:F30"/>
    <mergeCell ref="J30:M30"/>
    <mergeCell ref="C31:D31"/>
    <mergeCell ref="E31:F31"/>
    <mergeCell ref="J31:M31"/>
    <mergeCell ref="C32:D32"/>
    <mergeCell ref="E32:F32"/>
    <mergeCell ref="J32:M32"/>
    <mergeCell ref="B35:G35"/>
    <mergeCell ref="J35:N35"/>
    <mergeCell ref="C29:D29"/>
    <mergeCell ref="E29:F29"/>
    <mergeCell ref="J29:M29"/>
    <mergeCell ref="B6:C6"/>
    <mergeCell ref="D6:G6"/>
    <mergeCell ref="K6:L6"/>
    <mergeCell ref="M6:N6"/>
    <mergeCell ref="B8:G8"/>
    <mergeCell ref="I8:L8"/>
    <mergeCell ref="M8:N8"/>
    <mergeCell ref="B27:G27"/>
    <mergeCell ref="J27:N27"/>
    <mergeCell ref="C28:D28"/>
    <mergeCell ref="E28:F28"/>
    <mergeCell ref="J28:M28"/>
    <mergeCell ref="B1:N1"/>
    <mergeCell ref="B2:N2"/>
    <mergeCell ref="B5:C5"/>
    <mergeCell ref="D5:G5"/>
    <mergeCell ref="K5:L5"/>
    <mergeCell ref="M5:N5"/>
  </mergeCells>
  <pageMargins left="0.7" right="0.7" top="0.75" bottom="0.75" header="0.3" footer="0.3"/>
  <pageSetup scale="5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D109B-2C5B-40D8-A800-DEE682087779}">
  <sheetPr>
    <pageSetUpPr fitToPage="1"/>
  </sheetPr>
  <dimension ref="B1:Z50"/>
  <sheetViews>
    <sheetView zoomScaleNormal="100" workbookViewId="0">
      <selection activeCell="M21" sqref="M21"/>
    </sheetView>
  </sheetViews>
  <sheetFormatPr defaultColWidth="9.140625" defaultRowHeight="10.15" customHeight="1" x14ac:dyDescent="0.2"/>
  <cols>
    <col min="1" max="1" width="5" style="16" customWidth="1"/>
    <col min="2" max="2" width="14.7109375" style="16" customWidth="1"/>
    <col min="3" max="6" width="8.7109375" style="16" customWidth="1"/>
    <col min="7" max="7" width="10.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3" width="15.7109375" style="16" customWidth="1"/>
    <col min="14" max="14" width="15.5703125" style="16" customWidth="1"/>
    <col min="15" max="16384" width="9.140625" style="16"/>
  </cols>
  <sheetData>
    <row r="1" spans="2:26" s="1" customFormat="1" ht="20.25" customHeight="1" x14ac:dyDescent="0.25">
      <c r="B1" s="108" t="s">
        <v>51</v>
      </c>
      <c r="C1" s="108"/>
      <c r="D1" s="108"/>
      <c r="E1" s="108"/>
      <c r="F1" s="108"/>
      <c r="G1" s="108"/>
      <c r="H1" s="108"/>
      <c r="I1" s="108"/>
      <c r="J1" s="108"/>
      <c r="K1" s="108"/>
      <c r="L1" s="108"/>
      <c r="M1" s="108"/>
      <c r="N1" s="108"/>
    </row>
    <row r="2" spans="2:26" s="1" customFormat="1" ht="20.25" customHeight="1" x14ac:dyDescent="0.25">
      <c r="B2" s="109" t="s">
        <v>50</v>
      </c>
      <c r="C2" s="109"/>
      <c r="D2" s="109"/>
      <c r="E2" s="109"/>
      <c r="F2" s="109"/>
      <c r="G2" s="109"/>
      <c r="H2" s="109"/>
      <c r="I2" s="109"/>
      <c r="J2" s="109"/>
      <c r="K2" s="109"/>
      <c r="L2" s="109"/>
      <c r="M2" s="109"/>
      <c r="N2" s="109"/>
      <c r="O2" s="3"/>
      <c r="P2" s="3"/>
      <c r="Q2" s="4"/>
      <c r="R2" s="3"/>
      <c r="S2" s="3"/>
      <c r="T2" s="3"/>
      <c r="U2" s="3"/>
      <c r="V2" s="3"/>
      <c r="W2" s="3"/>
      <c r="X2" s="3"/>
      <c r="Y2" s="3"/>
      <c r="Z2" s="3"/>
    </row>
    <row r="3" spans="2:26" s="1" customFormat="1" ht="20.25" customHeight="1" x14ac:dyDescent="0.25">
      <c r="G3" s="5" t="s">
        <v>0</v>
      </c>
      <c r="H3" s="6">
        <v>46023</v>
      </c>
      <c r="I3" s="2" t="s">
        <v>1</v>
      </c>
      <c r="J3" s="6">
        <v>46387</v>
      </c>
      <c r="L3" s="7"/>
      <c r="O3" s="8"/>
      <c r="P3" s="8"/>
      <c r="Q3" s="9"/>
      <c r="R3" s="20"/>
      <c r="S3" s="3"/>
      <c r="T3" s="3"/>
      <c r="U3" s="3"/>
      <c r="V3" s="3"/>
      <c r="W3" s="8"/>
      <c r="X3" s="10"/>
      <c r="Y3" s="11"/>
      <c r="Z3" s="11"/>
    </row>
    <row r="4" spans="2:26" s="1" customFormat="1" ht="20.25" customHeight="1" x14ac:dyDescent="0.25">
      <c r="B4" s="8"/>
      <c r="C4" s="8"/>
      <c r="D4" s="8"/>
      <c r="E4" s="8"/>
      <c r="F4" s="8"/>
      <c r="G4" s="3"/>
      <c r="H4" s="3"/>
      <c r="I4" s="12"/>
      <c r="J4" s="3"/>
      <c r="K4" s="8"/>
      <c r="L4" s="10"/>
      <c r="M4" s="11"/>
      <c r="N4" s="13"/>
      <c r="O4" s="11"/>
      <c r="P4" s="11"/>
      <c r="Q4" s="11"/>
      <c r="R4" s="11"/>
    </row>
    <row r="5" spans="2:26" s="1" customFormat="1" ht="20.25" customHeight="1" x14ac:dyDescent="0.25">
      <c r="B5" s="110" t="s">
        <v>2</v>
      </c>
      <c r="C5" s="110"/>
      <c r="D5" s="111" t="s">
        <v>45</v>
      </c>
      <c r="E5" s="111"/>
      <c r="F5" s="111"/>
      <c r="G5" s="111"/>
      <c r="H5" s="14"/>
      <c r="I5" s="15"/>
      <c r="J5" s="15"/>
      <c r="K5" s="110" t="s">
        <v>3</v>
      </c>
      <c r="L5" s="110"/>
      <c r="M5" s="111" t="s">
        <v>43</v>
      </c>
      <c r="N5" s="111"/>
    </row>
    <row r="6" spans="2:26" s="1" customFormat="1" ht="20.25" customHeight="1" x14ac:dyDescent="0.25">
      <c r="B6" s="110" t="s">
        <v>4</v>
      </c>
      <c r="C6" s="110"/>
      <c r="D6" s="111" t="s">
        <v>39</v>
      </c>
      <c r="E6" s="111"/>
      <c r="F6" s="111"/>
      <c r="G6" s="111"/>
      <c r="H6" s="14"/>
      <c r="I6" s="11"/>
      <c r="J6" s="11"/>
      <c r="K6" s="110" t="s">
        <v>5</v>
      </c>
      <c r="L6" s="110"/>
      <c r="M6" s="111" t="s">
        <v>52</v>
      </c>
      <c r="N6" s="111"/>
    </row>
    <row r="7" spans="2:26" ht="21" customHeight="1" thickBot="1" x14ac:dyDescent="0.25">
      <c r="C7" s="17"/>
      <c r="D7" s="17"/>
      <c r="E7" s="17"/>
    </row>
    <row r="8" spans="2:26" s="24" customFormat="1" ht="15.75" customHeight="1" thickBot="1" x14ac:dyDescent="0.25">
      <c r="B8" s="118" t="s">
        <v>6</v>
      </c>
      <c r="C8" s="119"/>
      <c r="D8" s="119"/>
      <c r="E8" s="119"/>
      <c r="F8" s="119"/>
      <c r="G8" s="119"/>
      <c r="H8" s="25" t="s">
        <v>7</v>
      </c>
      <c r="I8" s="120" t="s">
        <v>8</v>
      </c>
      <c r="J8" s="120"/>
      <c r="K8" s="120"/>
      <c r="L8" s="121"/>
      <c r="M8" s="122" t="s">
        <v>9</v>
      </c>
      <c r="N8" s="121"/>
    </row>
    <row r="9" spans="2:26" s="24" customFormat="1" ht="15.75" customHeight="1" x14ac:dyDescent="0.25">
      <c r="B9" s="26"/>
      <c r="C9" s="27"/>
      <c r="D9" s="27"/>
      <c r="E9" s="27"/>
      <c r="F9" s="27"/>
      <c r="G9" s="28"/>
      <c r="H9" s="29"/>
      <c r="I9" s="30"/>
      <c r="J9" s="30"/>
      <c r="K9" s="30"/>
      <c r="L9" s="21"/>
      <c r="M9" s="31" t="s">
        <v>10</v>
      </c>
      <c r="N9" s="32" t="s">
        <v>11</v>
      </c>
    </row>
    <row r="10" spans="2:26" s="24" customFormat="1" ht="15.75" customHeight="1" thickBot="1" x14ac:dyDescent="0.3">
      <c r="B10" s="33" t="s">
        <v>12</v>
      </c>
      <c r="C10" s="34" t="s">
        <v>13</v>
      </c>
      <c r="D10" s="35" t="s">
        <v>49</v>
      </c>
      <c r="E10" s="34"/>
      <c r="F10" s="34" t="s">
        <v>14</v>
      </c>
      <c r="G10" s="34" t="s">
        <v>15</v>
      </c>
      <c r="H10" s="36" t="s">
        <v>16</v>
      </c>
      <c r="I10" s="37" t="s">
        <v>17</v>
      </c>
      <c r="J10" s="37" t="s">
        <v>18</v>
      </c>
      <c r="K10" s="37" t="s">
        <v>19</v>
      </c>
      <c r="L10" s="22" t="s">
        <v>20</v>
      </c>
      <c r="M10" s="38" t="s">
        <v>21</v>
      </c>
      <c r="N10" s="39" t="s">
        <v>22</v>
      </c>
    </row>
    <row r="11" spans="2:26" s="24" customFormat="1" ht="15.75" customHeight="1" x14ac:dyDescent="0.2">
      <c r="B11" s="40"/>
      <c r="C11" s="41"/>
      <c r="D11" s="41"/>
      <c r="E11" s="41"/>
      <c r="F11" s="41"/>
      <c r="G11" s="42"/>
      <c r="H11" s="43"/>
      <c r="I11" s="44"/>
      <c r="J11" s="45"/>
      <c r="K11" s="46"/>
      <c r="L11" s="47"/>
      <c r="M11" s="48"/>
      <c r="N11" s="49"/>
      <c r="R11" s="50"/>
    </row>
    <row r="12" spans="2:26" s="24" customFormat="1" ht="15.75" customHeight="1" x14ac:dyDescent="0.2">
      <c r="B12" s="51">
        <f>Summary!B12</f>
        <v>46023</v>
      </c>
      <c r="C12" s="52">
        <v>101</v>
      </c>
      <c r="D12" s="52">
        <f>36+30</f>
        <v>66</v>
      </c>
      <c r="E12" s="52"/>
      <c r="F12" s="52">
        <v>92</v>
      </c>
      <c r="G12" s="53">
        <f>C12+D12+F12</f>
        <v>259</v>
      </c>
      <c r="H12" s="54">
        <f>(C12*$E$29)+(D12*$E$30)+(E12*$E$31)+(F12*$E$32)</f>
        <v>1346.8000000000002</v>
      </c>
      <c r="I12" s="55">
        <f>(C12*$C$29)+(D12*$C$30)+(E12*$C$31)+(F12*$C$32)</f>
        <v>19344.25</v>
      </c>
      <c r="J12" s="23"/>
      <c r="K12" s="23"/>
      <c r="L12" s="53"/>
      <c r="M12" s="55">
        <f>I12-K12</f>
        <v>19344.25</v>
      </c>
      <c r="N12" s="93">
        <f>K12/I12</f>
        <v>0</v>
      </c>
      <c r="Q12" s="50"/>
      <c r="R12" s="50"/>
    </row>
    <row r="13" spans="2:26" s="24" customFormat="1" ht="15.75" customHeight="1" x14ac:dyDescent="0.2">
      <c r="B13" s="51">
        <f>Summary!B13</f>
        <v>46054</v>
      </c>
      <c r="C13" s="52">
        <v>103</v>
      </c>
      <c r="D13" s="52">
        <f>31+34</f>
        <v>65</v>
      </c>
      <c r="E13" s="52"/>
      <c r="F13" s="52">
        <v>91</v>
      </c>
      <c r="G13" s="53">
        <f t="shared" ref="G13:G23" si="0">C13+D13+F13</f>
        <v>259</v>
      </c>
      <c r="H13" s="54">
        <f t="shared" ref="H13:H23" si="1">(C13*$E$29)+(D13*$E$30)+(E13*$E$31)+(F13*$E$32)</f>
        <v>1346.8</v>
      </c>
      <c r="I13" s="55">
        <f t="shared" ref="I13:I23" si="2">(C13*$C$29)+(D13*$C$30)+(E13*$C$31)+(F13*$C$32)</f>
        <v>19231.98</v>
      </c>
      <c r="J13" s="23">
        <v>32343.13</v>
      </c>
      <c r="K13" s="23">
        <v>16261.5</v>
      </c>
      <c r="L13" s="53">
        <v>50</v>
      </c>
      <c r="M13" s="55">
        <f t="shared" ref="M13:M23" si="3">I13-K13</f>
        <v>2970.4799999999996</v>
      </c>
      <c r="N13" s="93">
        <f t="shared" ref="N13:N17" si="4">K13/I13</f>
        <v>0.84554476450162697</v>
      </c>
      <c r="Q13" s="56"/>
      <c r="R13" s="50"/>
    </row>
    <row r="14" spans="2:26" s="24" customFormat="1" ht="15.75" customHeight="1" x14ac:dyDescent="0.2">
      <c r="B14" s="51">
        <f>Summary!B14</f>
        <v>46082</v>
      </c>
      <c r="C14" s="52">
        <v>103</v>
      </c>
      <c r="D14" s="52">
        <f>33+31</f>
        <v>64</v>
      </c>
      <c r="E14" s="52"/>
      <c r="F14" s="52">
        <v>91</v>
      </c>
      <c r="G14" s="53">
        <f t="shared" si="0"/>
        <v>258</v>
      </c>
      <c r="H14" s="54">
        <f t="shared" si="1"/>
        <v>1341.6000000000001</v>
      </c>
      <c r="I14" s="55">
        <f t="shared" si="2"/>
        <v>19158.79</v>
      </c>
      <c r="J14" s="23">
        <v>115996.79</v>
      </c>
      <c r="K14" s="23">
        <v>45354.07</v>
      </c>
      <c r="L14" s="53">
        <v>184</v>
      </c>
      <c r="M14" s="55">
        <f t="shared" si="3"/>
        <v>-26195.279999999999</v>
      </c>
      <c r="N14" s="93">
        <f t="shared" si="4"/>
        <v>2.3672721502767136</v>
      </c>
      <c r="Q14" s="56"/>
      <c r="R14" s="50"/>
    </row>
    <row r="15" spans="2:26" s="24" customFormat="1" ht="15.75" customHeight="1" x14ac:dyDescent="0.2">
      <c r="B15" s="51">
        <f>Summary!B15</f>
        <v>46113</v>
      </c>
      <c r="C15" s="52">
        <v>101</v>
      </c>
      <c r="D15" s="52">
        <v>63</v>
      </c>
      <c r="E15" s="52"/>
      <c r="F15" s="52">
        <v>91</v>
      </c>
      <c r="G15" s="53">
        <f t="shared" si="0"/>
        <v>255</v>
      </c>
      <c r="H15" s="54">
        <f t="shared" si="1"/>
        <v>1326</v>
      </c>
      <c r="I15" s="55">
        <f t="shared" si="2"/>
        <v>19008.980000000003</v>
      </c>
      <c r="J15" s="23">
        <v>76266.17</v>
      </c>
      <c r="K15" s="23">
        <v>25455.89</v>
      </c>
      <c r="L15" s="53">
        <v>122</v>
      </c>
      <c r="M15" s="55">
        <f t="shared" si="3"/>
        <v>-6446.9099999999962</v>
      </c>
      <c r="N15" s="93">
        <f t="shared" si="4"/>
        <v>1.3391507592727225</v>
      </c>
      <c r="Q15" s="56"/>
      <c r="R15" s="50"/>
    </row>
    <row r="16" spans="2:26" s="24" customFormat="1" ht="15.75" customHeight="1" x14ac:dyDescent="0.2">
      <c r="B16" s="51">
        <f>Summary!B16</f>
        <v>46143</v>
      </c>
      <c r="C16" s="52">
        <v>99</v>
      </c>
      <c r="D16" s="52">
        <v>32</v>
      </c>
      <c r="E16" s="52"/>
      <c r="F16" s="52">
        <v>91</v>
      </c>
      <c r="G16" s="53">
        <f t="shared" si="0"/>
        <v>222</v>
      </c>
      <c r="H16" s="54">
        <f t="shared" si="1"/>
        <v>1154.4000000000001</v>
      </c>
      <c r="I16" s="55">
        <f t="shared" si="2"/>
        <v>16663.47</v>
      </c>
      <c r="J16" s="23">
        <v>51783.45</v>
      </c>
      <c r="K16" s="23">
        <v>25045.15</v>
      </c>
      <c r="L16" s="53">
        <v>129</v>
      </c>
      <c r="M16" s="55">
        <f t="shared" si="3"/>
        <v>-8381.68</v>
      </c>
      <c r="N16" s="93">
        <f t="shared" si="4"/>
        <v>1.5029972748773215</v>
      </c>
      <c r="Q16" s="56"/>
      <c r="R16" s="50"/>
    </row>
    <row r="17" spans="2:18" s="24" customFormat="1" ht="15.75" customHeight="1" x14ac:dyDescent="0.2">
      <c r="B17" s="51">
        <f>Summary!B17</f>
        <v>46174</v>
      </c>
      <c r="C17" s="52">
        <v>99</v>
      </c>
      <c r="D17" s="52">
        <v>63</v>
      </c>
      <c r="E17" s="52"/>
      <c r="F17" s="52">
        <v>90</v>
      </c>
      <c r="G17" s="53">
        <f t="shared" si="0"/>
        <v>252</v>
      </c>
      <c r="H17" s="54">
        <f t="shared" si="1"/>
        <v>1310.4000000000001</v>
      </c>
      <c r="I17" s="55">
        <f t="shared" si="2"/>
        <v>18816.66</v>
      </c>
      <c r="J17" s="23">
        <v>45508.84</v>
      </c>
      <c r="K17" s="23">
        <v>19206.669999999998</v>
      </c>
      <c r="L17" s="53">
        <v>83</v>
      </c>
      <c r="M17" s="55">
        <f t="shared" si="3"/>
        <v>-390.0099999999984</v>
      </c>
      <c r="N17" s="93">
        <f t="shared" si="4"/>
        <v>1.0207268452530895</v>
      </c>
      <c r="Q17" s="56"/>
      <c r="R17" s="50"/>
    </row>
    <row r="18" spans="2:18" s="24" customFormat="1" ht="15.75" customHeight="1" x14ac:dyDescent="0.2">
      <c r="B18" s="51">
        <f>Summary!B18</f>
        <v>46204</v>
      </c>
      <c r="C18" s="52"/>
      <c r="D18" s="52"/>
      <c r="E18" s="52"/>
      <c r="F18" s="52"/>
      <c r="G18" s="53">
        <f t="shared" si="0"/>
        <v>0</v>
      </c>
      <c r="H18" s="54">
        <f t="shared" si="1"/>
        <v>0</v>
      </c>
      <c r="I18" s="55">
        <f t="shared" si="2"/>
        <v>0</v>
      </c>
      <c r="J18" s="23"/>
      <c r="K18" s="23"/>
      <c r="L18" s="53"/>
      <c r="M18" s="55">
        <f t="shared" si="3"/>
        <v>0</v>
      </c>
      <c r="N18" s="93"/>
      <c r="Q18" s="56"/>
      <c r="R18" s="50"/>
    </row>
    <row r="19" spans="2:18" s="24" customFormat="1" ht="15.75" customHeight="1" x14ac:dyDescent="0.2">
      <c r="B19" s="51">
        <f>Summary!B19</f>
        <v>46235</v>
      </c>
      <c r="C19" s="52"/>
      <c r="D19" s="52"/>
      <c r="E19" s="52"/>
      <c r="F19" s="52"/>
      <c r="G19" s="53">
        <f t="shared" si="0"/>
        <v>0</v>
      </c>
      <c r="H19" s="54">
        <f t="shared" si="1"/>
        <v>0</v>
      </c>
      <c r="I19" s="55">
        <f t="shared" si="2"/>
        <v>0</v>
      </c>
      <c r="J19" s="23"/>
      <c r="K19" s="23"/>
      <c r="L19" s="53"/>
      <c r="M19" s="55">
        <f t="shared" si="3"/>
        <v>0</v>
      </c>
      <c r="N19" s="93"/>
      <c r="Q19" s="56"/>
      <c r="R19" s="50"/>
    </row>
    <row r="20" spans="2:18" s="24" customFormat="1" ht="15.75" customHeight="1" x14ac:dyDescent="0.2">
      <c r="B20" s="51">
        <f>Summary!B20</f>
        <v>46266</v>
      </c>
      <c r="C20" s="52"/>
      <c r="D20" s="52"/>
      <c r="E20" s="52"/>
      <c r="F20" s="52"/>
      <c r="G20" s="53">
        <f t="shared" si="0"/>
        <v>0</v>
      </c>
      <c r="H20" s="54">
        <f t="shared" si="1"/>
        <v>0</v>
      </c>
      <c r="I20" s="55">
        <f t="shared" si="2"/>
        <v>0</v>
      </c>
      <c r="J20" s="23"/>
      <c r="K20" s="23"/>
      <c r="L20" s="53"/>
      <c r="M20" s="55">
        <f t="shared" si="3"/>
        <v>0</v>
      </c>
      <c r="N20" s="102" t="e">
        <f t="shared" ref="N20:N23" si="5">K20/(H20+I20)</f>
        <v>#DIV/0!</v>
      </c>
      <c r="Q20" s="56"/>
      <c r="R20" s="50"/>
    </row>
    <row r="21" spans="2:18" s="24" customFormat="1" ht="15.75" customHeight="1" x14ac:dyDescent="0.2">
      <c r="B21" s="51">
        <f>Summary!B21</f>
        <v>46296</v>
      </c>
      <c r="C21" s="52"/>
      <c r="D21" s="52"/>
      <c r="E21" s="52"/>
      <c r="F21" s="52"/>
      <c r="G21" s="53">
        <f t="shared" si="0"/>
        <v>0</v>
      </c>
      <c r="H21" s="54">
        <f t="shared" si="1"/>
        <v>0</v>
      </c>
      <c r="I21" s="55">
        <f t="shared" si="2"/>
        <v>0</v>
      </c>
      <c r="J21" s="23"/>
      <c r="K21" s="23"/>
      <c r="L21" s="53"/>
      <c r="M21" s="55">
        <f t="shared" si="3"/>
        <v>0</v>
      </c>
      <c r="N21" s="102" t="e">
        <f t="shared" si="5"/>
        <v>#DIV/0!</v>
      </c>
      <c r="Q21" s="56"/>
      <c r="R21" s="50"/>
    </row>
    <row r="22" spans="2:18" s="24" customFormat="1" ht="15.75" customHeight="1" x14ac:dyDescent="0.2">
      <c r="B22" s="51">
        <f>Summary!B22</f>
        <v>46327</v>
      </c>
      <c r="C22" s="52"/>
      <c r="D22" s="52"/>
      <c r="E22" s="52"/>
      <c r="F22" s="52"/>
      <c r="G22" s="53">
        <f t="shared" si="0"/>
        <v>0</v>
      </c>
      <c r="H22" s="54">
        <f t="shared" si="1"/>
        <v>0</v>
      </c>
      <c r="I22" s="55">
        <f t="shared" si="2"/>
        <v>0</v>
      </c>
      <c r="J22" s="23"/>
      <c r="K22" s="23"/>
      <c r="L22" s="53"/>
      <c r="M22" s="55">
        <f t="shared" si="3"/>
        <v>0</v>
      </c>
      <c r="N22" s="102" t="e">
        <f t="shared" si="5"/>
        <v>#DIV/0!</v>
      </c>
      <c r="Q22" s="56"/>
      <c r="R22" s="50"/>
    </row>
    <row r="23" spans="2:18" s="24" customFormat="1" ht="15.75" customHeight="1" x14ac:dyDescent="0.2">
      <c r="B23" s="51">
        <f>Summary!B23</f>
        <v>46357</v>
      </c>
      <c r="C23" s="52"/>
      <c r="D23" s="52"/>
      <c r="E23" s="52"/>
      <c r="F23" s="52"/>
      <c r="G23" s="53">
        <f t="shared" si="0"/>
        <v>0</v>
      </c>
      <c r="H23" s="54">
        <f t="shared" si="1"/>
        <v>0</v>
      </c>
      <c r="I23" s="55">
        <f t="shared" si="2"/>
        <v>0</v>
      </c>
      <c r="J23" s="23"/>
      <c r="K23" s="23"/>
      <c r="L23" s="53"/>
      <c r="M23" s="55">
        <f t="shared" si="3"/>
        <v>0</v>
      </c>
      <c r="N23" s="102" t="e">
        <f t="shared" si="5"/>
        <v>#DIV/0!</v>
      </c>
      <c r="Q23" s="56"/>
      <c r="R23" s="50"/>
    </row>
    <row r="24" spans="2:18" s="24" customFormat="1" ht="15.75" customHeight="1" thickBot="1" x14ac:dyDescent="0.25">
      <c r="B24" s="57"/>
      <c r="C24" s="58"/>
      <c r="D24" s="58"/>
      <c r="E24" s="58"/>
      <c r="F24" s="58"/>
      <c r="G24" s="59"/>
      <c r="H24" s="60"/>
      <c r="I24" s="61"/>
      <c r="J24" s="62"/>
      <c r="K24" s="63"/>
      <c r="L24" s="64"/>
      <c r="M24" s="65"/>
      <c r="N24" s="66"/>
    </row>
    <row r="25" spans="2:18" s="73" customFormat="1" ht="15.75" customHeight="1" thickBot="1" x14ac:dyDescent="0.3">
      <c r="B25" s="67" t="s">
        <v>23</v>
      </c>
      <c r="C25" s="68">
        <f>AVERAGEIF(C12:C23,"&gt;0")</f>
        <v>101</v>
      </c>
      <c r="D25" s="68">
        <f>AVERAGEIF(D12:D23,"&gt;0")</f>
        <v>58.833333333333336</v>
      </c>
      <c r="E25" s="68"/>
      <c r="F25" s="68">
        <f>AVERAGEIF(F12:F23,"&gt;0")</f>
        <v>91</v>
      </c>
      <c r="G25" s="68">
        <f>AVERAGEIF(G12:G23,"&gt;0")</f>
        <v>250.83333333333334</v>
      </c>
      <c r="H25" s="69">
        <f>SUM(H11:H23)</f>
        <v>7826</v>
      </c>
      <c r="I25" s="69">
        <f>SUM(I11:I23)</f>
        <v>112224.13</v>
      </c>
      <c r="J25" s="70">
        <f>SUM(J11:J23)</f>
        <v>321898.38</v>
      </c>
      <c r="K25" s="71">
        <f>SUM(K11:K23)</f>
        <v>131323.27999999997</v>
      </c>
      <c r="L25" s="72">
        <f>SUM(L12:L23)</f>
        <v>568</v>
      </c>
      <c r="M25" s="69">
        <f>SUM(M12:M23)</f>
        <v>-19099.149999999994</v>
      </c>
      <c r="N25" s="92">
        <f>K25/I25</f>
        <v>1.170187552356164</v>
      </c>
    </row>
    <row r="26" spans="2:18" s="24" customFormat="1" ht="15.75" customHeight="1" x14ac:dyDescent="0.2">
      <c r="J26" s="74"/>
      <c r="L26" s="75"/>
    </row>
    <row r="27" spans="2:18" s="24" customFormat="1" ht="15.75" customHeight="1" x14ac:dyDescent="0.25">
      <c r="B27" s="123" t="s">
        <v>24</v>
      </c>
      <c r="C27" s="124"/>
      <c r="D27" s="124"/>
      <c r="E27" s="124"/>
      <c r="F27" s="124"/>
      <c r="G27" s="125"/>
      <c r="H27" s="76"/>
      <c r="J27" s="126" t="s">
        <v>25</v>
      </c>
      <c r="K27" s="127"/>
      <c r="L27" s="127"/>
      <c r="M27" s="127"/>
      <c r="N27" s="128"/>
    </row>
    <row r="28" spans="2:18" s="24" customFormat="1" ht="15.75" customHeight="1" x14ac:dyDescent="0.2">
      <c r="B28" s="77"/>
      <c r="C28" s="127" t="s">
        <v>26</v>
      </c>
      <c r="D28" s="128"/>
      <c r="E28" s="129" t="s">
        <v>27</v>
      </c>
      <c r="F28" s="128"/>
      <c r="G28" s="78" t="s">
        <v>15</v>
      </c>
      <c r="H28" s="74"/>
      <c r="J28" s="115" t="s">
        <v>28</v>
      </c>
      <c r="K28" s="116"/>
      <c r="L28" s="116"/>
      <c r="M28" s="117"/>
      <c r="N28" s="79">
        <f>J25/L25</f>
        <v>566.72249999999997</v>
      </c>
    </row>
    <row r="29" spans="2:18" s="24" customFormat="1" ht="15.75" customHeight="1" x14ac:dyDescent="0.2">
      <c r="B29" s="80" t="s">
        <v>29</v>
      </c>
      <c r="C29" s="112">
        <v>38.31</v>
      </c>
      <c r="D29" s="113"/>
      <c r="E29" s="114">
        <v>5.2</v>
      </c>
      <c r="F29" s="113"/>
      <c r="G29" s="81">
        <f>C29+E29</f>
        <v>43.510000000000005</v>
      </c>
      <c r="H29" s="82"/>
      <c r="J29" s="115" t="s">
        <v>30</v>
      </c>
      <c r="K29" s="116"/>
      <c r="L29" s="116"/>
      <c r="M29" s="117"/>
      <c r="N29" s="79">
        <f>K25/L25</f>
        <v>231.20295774647883</v>
      </c>
    </row>
    <row r="30" spans="2:18" s="24" customFormat="1" ht="15.75" customHeight="1" x14ac:dyDescent="0.2">
      <c r="B30" s="83" t="str">
        <f>IF(D10="E+1","EE &amp; One","EE &amp; Spouse")</f>
        <v>EE &amp; One</v>
      </c>
      <c r="C30" s="112">
        <v>73.19</v>
      </c>
      <c r="D30" s="113"/>
      <c r="E30" s="114">
        <v>5.2</v>
      </c>
      <c r="F30" s="113"/>
      <c r="G30" s="81">
        <f>C30+E30</f>
        <v>78.39</v>
      </c>
      <c r="H30" s="82"/>
      <c r="J30" s="115" t="s">
        <v>31</v>
      </c>
      <c r="K30" s="116"/>
      <c r="L30" s="116"/>
      <c r="M30" s="117"/>
      <c r="N30" s="84">
        <f>((L25/COUNTIF(G12:G23,"&gt;0"))*12)/G25</f>
        <v>4.5289036544850498</v>
      </c>
    </row>
    <row r="31" spans="2:18" s="24" customFormat="1" ht="15.75" customHeight="1" x14ac:dyDescent="0.2">
      <c r="B31" s="80"/>
      <c r="C31" s="112"/>
      <c r="D31" s="113"/>
      <c r="E31" s="114"/>
      <c r="F31" s="113"/>
      <c r="G31" s="81"/>
      <c r="H31" s="82"/>
      <c r="J31" s="115" t="s">
        <v>32</v>
      </c>
      <c r="K31" s="116"/>
      <c r="L31" s="116"/>
      <c r="M31" s="117"/>
      <c r="N31" s="85">
        <f>K25/J25</f>
        <v>0.40796502299887305</v>
      </c>
    </row>
    <row r="32" spans="2:18" s="24" customFormat="1" ht="15.75" customHeight="1" x14ac:dyDescent="0.2">
      <c r="B32" s="80" t="s">
        <v>33</v>
      </c>
      <c r="C32" s="112">
        <v>115.7</v>
      </c>
      <c r="D32" s="113"/>
      <c r="E32" s="114">
        <v>5.2</v>
      </c>
      <c r="F32" s="113"/>
      <c r="G32" s="81">
        <f>C32+E32</f>
        <v>120.9</v>
      </c>
      <c r="H32" s="82"/>
      <c r="J32" s="115" t="s">
        <v>34</v>
      </c>
      <c r="K32" s="116"/>
      <c r="L32" s="116"/>
      <c r="M32" s="117"/>
      <c r="N32" s="79">
        <f>K25/G25/(COUNTIF(G12:G23,"&gt;0"))</f>
        <v>87.257993355481702</v>
      </c>
    </row>
    <row r="33" spans="2:14" s="24" customFormat="1" ht="15.75" customHeight="1" x14ac:dyDescent="0.2">
      <c r="C33" s="82"/>
      <c r="D33" s="82"/>
      <c r="E33" s="82"/>
      <c r="F33" s="86"/>
      <c r="G33" s="82"/>
      <c r="H33" s="82"/>
      <c r="J33" s="87"/>
      <c r="K33" s="87"/>
      <c r="L33" s="87"/>
      <c r="M33" s="87"/>
      <c r="N33" s="88"/>
    </row>
    <row r="34" spans="2:14" s="24" customFormat="1" ht="15.75" customHeight="1" thickBot="1" x14ac:dyDescent="0.25">
      <c r="J34" s="74"/>
      <c r="L34" s="75"/>
    </row>
    <row r="35" spans="2:14" s="24" customFormat="1" ht="15.75" customHeight="1" thickBot="1" x14ac:dyDescent="0.3">
      <c r="B35" s="136" t="s">
        <v>35</v>
      </c>
      <c r="C35" s="136"/>
      <c r="D35" s="136"/>
      <c r="E35" s="136"/>
      <c r="F35" s="136"/>
      <c r="G35" s="136"/>
      <c r="H35" s="76"/>
      <c r="J35" s="137" t="s">
        <v>46</v>
      </c>
      <c r="K35" s="138"/>
      <c r="L35" s="138"/>
      <c r="M35" s="138"/>
      <c r="N35" s="139"/>
    </row>
    <row r="36" spans="2:14" s="24" customFormat="1" ht="15.75" customHeight="1" x14ac:dyDescent="0.2">
      <c r="B36" s="130" t="s">
        <v>57</v>
      </c>
      <c r="C36" s="131"/>
      <c r="D36" s="131"/>
      <c r="E36" s="131"/>
      <c r="F36" s="131"/>
      <c r="G36" s="132"/>
      <c r="H36" s="89"/>
      <c r="J36" s="133" t="s">
        <v>28</v>
      </c>
      <c r="K36" s="134"/>
      <c r="L36" s="134"/>
      <c r="M36" s="135"/>
      <c r="N36" s="98">
        <v>468.47</v>
      </c>
    </row>
    <row r="37" spans="2:14" s="24" customFormat="1" ht="15.75" customHeight="1" x14ac:dyDescent="0.2">
      <c r="B37" s="155" t="s">
        <v>62</v>
      </c>
      <c r="C37" s="156"/>
      <c r="D37" s="156"/>
      <c r="E37" s="156"/>
      <c r="F37" s="156"/>
      <c r="G37" s="157"/>
      <c r="H37" s="89"/>
      <c r="J37" s="133" t="s">
        <v>30</v>
      </c>
      <c r="K37" s="134"/>
      <c r="L37" s="134"/>
      <c r="M37" s="135"/>
      <c r="N37" s="98">
        <v>299.62</v>
      </c>
    </row>
    <row r="38" spans="2:14" s="24" customFormat="1" ht="15.75" customHeight="1" x14ac:dyDescent="0.2">
      <c r="B38" s="155" t="s">
        <v>48</v>
      </c>
      <c r="C38" s="156"/>
      <c r="D38" s="156"/>
      <c r="E38" s="156"/>
      <c r="F38" s="156"/>
      <c r="G38" s="157"/>
      <c r="H38" s="89"/>
      <c r="J38" s="133" t="s">
        <v>31</v>
      </c>
      <c r="K38" s="134"/>
      <c r="L38" s="134"/>
      <c r="M38" s="135"/>
      <c r="N38" s="99">
        <v>3.48</v>
      </c>
    </row>
    <row r="39" spans="2:14" s="24" customFormat="1" ht="15.75" customHeight="1" x14ac:dyDescent="0.2">
      <c r="B39" s="155" t="s">
        <v>58</v>
      </c>
      <c r="C39" s="156"/>
      <c r="D39" s="156"/>
      <c r="E39" s="156"/>
      <c r="F39" s="156"/>
      <c r="G39" s="157"/>
      <c r="H39" s="89"/>
      <c r="J39" s="133" t="s">
        <v>32</v>
      </c>
      <c r="K39" s="134"/>
      <c r="L39" s="134"/>
      <c r="M39" s="135"/>
      <c r="N39" s="100">
        <v>0.63959999999999995</v>
      </c>
    </row>
    <row r="40" spans="2:14" s="24" customFormat="1" ht="15.75" thickBot="1" x14ac:dyDescent="0.25">
      <c r="B40" s="140" t="s">
        <v>37</v>
      </c>
      <c r="C40" s="141"/>
      <c r="D40" s="141"/>
      <c r="E40" s="141"/>
      <c r="F40" s="141"/>
      <c r="G40" s="142"/>
      <c r="H40" s="89"/>
      <c r="J40" s="133" t="s">
        <v>34</v>
      </c>
      <c r="K40" s="134"/>
      <c r="L40" s="134"/>
      <c r="M40" s="135"/>
      <c r="N40" s="98">
        <v>86.89</v>
      </c>
    </row>
    <row r="41" spans="2:14" s="24" customFormat="1" ht="15.75" x14ac:dyDescent="0.25">
      <c r="J41" s="143" t="s">
        <v>47</v>
      </c>
      <c r="K41" s="144"/>
      <c r="L41" s="144"/>
      <c r="M41" s="145"/>
      <c r="N41" s="101">
        <v>-14003.52</v>
      </c>
    </row>
    <row r="42" spans="2:14" s="24" customFormat="1" ht="10.15" customHeight="1" x14ac:dyDescent="0.2">
      <c r="J42" s="74"/>
      <c r="L42" s="75"/>
    </row>
    <row r="43" spans="2:14" s="24" customFormat="1" ht="10.15" customHeight="1" x14ac:dyDescent="0.2">
      <c r="B43" s="146" t="s">
        <v>54</v>
      </c>
      <c r="C43" s="147"/>
      <c r="D43" s="147"/>
      <c r="E43" s="147"/>
      <c r="F43" s="147"/>
      <c r="G43" s="147"/>
      <c r="H43" s="147"/>
      <c r="I43" s="147"/>
      <c r="J43" s="147"/>
      <c r="K43" s="147"/>
      <c r="L43" s="147"/>
      <c r="M43" s="147"/>
      <c r="N43" s="148"/>
    </row>
    <row r="44" spans="2:14" s="24" customFormat="1" ht="10.15" customHeight="1" x14ac:dyDescent="0.2">
      <c r="B44" s="149"/>
      <c r="C44" s="150"/>
      <c r="D44" s="150"/>
      <c r="E44" s="150"/>
      <c r="F44" s="150"/>
      <c r="G44" s="150"/>
      <c r="H44" s="150"/>
      <c r="I44" s="150"/>
      <c r="J44" s="150"/>
      <c r="K44" s="150"/>
      <c r="L44" s="150"/>
      <c r="M44" s="150"/>
      <c r="N44" s="151"/>
    </row>
    <row r="45" spans="2:14" s="24" customFormat="1" ht="10.15" customHeight="1" x14ac:dyDescent="0.2">
      <c r="B45" s="149"/>
      <c r="C45" s="150"/>
      <c r="D45" s="150"/>
      <c r="E45" s="150"/>
      <c r="F45" s="150"/>
      <c r="G45" s="150"/>
      <c r="H45" s="150"/>
      <c r="I45" s="150"/>
      <c r="J45" s="150"/>
      <c r="K45" s="150"/>
      <c r="L45" s="150"/>
      <c r="M45" s="150"/>
      <c r="N45" s="151"/>
    </row>
    <row r="46" spans="2:14" s="24" customFormat="1" ht="10.15" customHeight="1" x14ac:dyDescent="0.2">
      <c r="B46" s="149"/>
      <c r="C46" s="150"/>
      <c r="D46" s="150"/>
      <c r="E46" s="150"/>
      <c r="F46" s="150"/>
      <c r="G46" s="150"/>
      <c r="H46" s="150"/>
      <c r="I46" s="150"/>
      <c r="J46" s="150"/>
      <c r="K46" s="150"/>
      <c r="L46" s="150"/>
      <c r="M46" s="150"/>
      <c r="N46" s="151"/>
    </row>
    <row r="47" spans="2:14" s="24" customFormat="1" ht="10.15" customHeight="1" x14ac:dyDescent="0.2">
      <c r="B47" s="149"/>
      <c r="C47" s="150"/>
      <c r="D47" s="150"/>
      <c r="E47" s="150"/>
      <c r="F47" s="150"/>
      <c r="G47" s="150"/>
      <c r="H47" s="150"/>
      <c r="I47" s="150"/>
      <c r="J47" s="150"/>
      <c r="K47" s="150"/>
      <c r="L47" s="150"/>
      <c r="M47" s="150"/>
      <c r="N47" s="151"/>
    </row>
    <row r="48" spans="2:14" s="24" customFormat="1" ht="10.15" customHeight="1" x14ac:dyDescent="0.2">
      <c r="B48" s="149"/>
      <c r="C48" s="150"/>
      <c r="D48" s="150"/>
      <c r="E48" s="150"/>
      <c r="F48" s="150"/>
      <c r="G48" s="150"/>
      <c r="H48" s="150"/>
      <c r="I48" s="150"/>
      <c r="J48" s="150"/>
      <c r="K48" s="150"/>
      <c r="L48" s="150"/>
      <c r="M48" s="150"/>
      <c r="N48" s="151"/>
    </row>
    <row r="49" spans="2:14" s="24" customFormat="1" ht="10.15" customHeight="1" x14ac:dyDescent="0.2">
      <c r="B49" s="152"/>
      <c r="C49" s="153"/>
      <c r="D49" s="153"/>
      <c r="E49" s="153"/>
      <c r="F49" s="153"/>
      <c r="G49" s="153"/>
      <c r="H49" s="153"/>
      <c r="I49" s="153"/>
      <c r="J49" s="153"/>
      <c r="K49" s="153"/>
      <c r="L49" s="153"/>
      <c r="M49" s="153"/>
      <c r="N49" s="154"/>
    </row>
    <row r="50" spans="2:14" s="24" customFormat="1" ht="10.15" customHeight="1" x14ac:dyDescent="0.2">
      <c r="J50" s="74"/>
      <c r="L50" s="75"/>
    </row>
  </sheetData>
  <mergeCells count="44">
    <mergeCell ref="B40:G40"/>
    <mergeCell ref="J40:M40"/>
    <mergeCell ref="J41:M41"/>
    <mergeCell ref="B43:N49"/>
    <mergeCell ref="B37:G37"/>
    <mergeCell ref="J37:M37"/>
    <mergeCell ref="B38:G38"/>
    <mergeCell ref="J38:M38"/>
    <mergeCell ref="B39:G39"/>
    <mergeCell ref="J39:M39"/>
    <mergeCell ref="B36:G36"/>
    <mergeCell ref="J36:M36"/>
    <mergeCell ref="C30:D30"/>
    <mergeCell ref="E30:F30"/>
    <mergeCell ref="J30:M30"/>
    <mergeCell ref="C31:D31"/>
    <mergeCell ref="E31:F31"/>
    <mergeCell ref="J31:M31"/>
    <mergeCell ref="C32:D32"/>
    <mergeCell ref="E32:F32"/>
    <mergeCell ref="J32:M32"/>
    <mergeCell ref="B35:G35"/>
    <mergeCell ref="J35:N35"/>
    <mergeCell ref="C29:D29"/>
    <mergeCell ref="E29:F29"/>
    <mergeCell ref="J29:M29"/>
    <mergeCell ref="B6:C6"/>
    <mergeCell ref="D6:G6"/>
    <mergeCell ref="K6:L6"/>
    <mergeCell ref="M6:N6"/>
    <mergeCell ref="B8:G8"/>
    <mergeCell ref="I8:L8"/>
    <mergeCell ref="M8:N8"/>
    <mergeCell ref="B27:G27"/>
    <mergeCell ref="J27:N27"/>
    <mergeCell ref="C28:D28"/>
    <mergeCell ref="E28:F28"/>
    <mergeCell ref="J28:M28"/>
    <mergeCell ref="B1:N1"/>
    <mergeCell ref="B2:N2"/>
    <mergeCell ref="B5:C5"/>
    <mergeCell ref="D5:G5"/>
    <mergeCell ref="K5:L5"/>
    <mergeCell ref="M5:N5"/>
  </mergeCells>
  <pageMargins left="0.7" right="0.7" top="0.75" bottom="0.75" header="0.3" footer="0.3"/>
  <pageSetup scale="5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Z50"/>
  <sheetViews>
    <sheetView zoomScale="70" zoomScaleNormal="70" workbookViewId="0">
      <selection activeCell="J4" sqref="J4"/>
    </sheetView>
  </sheetViews>
  <sheetFormatPr defaultColWidth="9.140625" defaultRowHeight="10.15" customHeight="1" x14ac:dyDescent="0.2"/>
  <cols>
    <col min="1" max="1" width="5" style="16" customWidth="1"/>
    <col min="2" max="2" width="14.7109375" style="16" customWidth="1"/>
    <col min="3" max="6" width="8.7109375" style="16" customWidth="1"/>
    <col min="7" max="7" width="10.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2:26" s="1" customFormat="1" ht="20.25" customHeight="1" x14ac:dyDescent="0.25">
      <c r="B1" s="108" t="s">
        <v>51</v>
      </c>
      <c r="C1" s="108"/>
      <c r="D1" s="108"/>
      <c r="E1" s="108"/>
      <c r="F1" s="108"/>
      <c r="G1" s="108"/>
      <c r="H1" s="108"/>
      <c r="I1" s="108"/>
      <c r="J1" s="108"/>
      <c r="K1" s="108"/>
      <c r="L1" s="108"/>
      <c r="M1" s="108"/>
      <c r="N1" s="108"/>
    </row>
    <row r="2" spans="2:26" s="1" customFormat="1" ht="20.25" customHeight="1" x14ac:dyDescent="0.25">
      <c r="B2" s="109" t="s">
        <v>50</v>
      </c>
      <c r="C2" s="109"/>
      <c r="D2" s="109"/>
      <c r="E2" s="109"/>
      <c r="F2" s="109"/>
      <c r="G2" s="109"/>
      <c r="H2" s="109"/>
      <c r="I2" s="109"/>
      <c r="J2" s="109"/>
      <c r="K2" s="109"/>
      <c r="L2" s="109"/>
      <c r="M2" s="109"/>
      <c r="N2" s="109"/>
      <c r="O2" s="3"/>
      <c r="P2" s="3"/>
      <c r="Q2" s="4"/>
      <c r="R2" s="3"/>
      <c r="S2" s="3"/>
      <c r="T2" s="3"/>
      <c r="U2" s="3"/>
      <c r="V2" s="3"/>
      <c r="W2" s="3"/>
      <c r="X2" s="3"/>
      <c r="Y2" s="3"/>
      <c r="Z2" s="3"/>
    </row>
    <row r="3" spans="2:26" s="1" customFormat="1" ht="20.25" customHeight="1" x14ac:dyDescent="0.25">
      <c r="G3" s="5" t="s">
        <v>0</v>
      </c>
      <c r="H3" s="6">
        <v>45658</v>
      </c>
      <c r="I3" s="2" t="s">
        <v>1</v>
      </c>
      <c r="J3" s="6">
        <v>46022</v>
      </c>
      <c r="L3" s="7"/>
      <c r="O3" s="8"/>
      <c r="P3" s="8"/>
      <c r="Q3" s="9"/>
      <c r="R3" s="20"/>
      <c r="S3" s="3"/>
      <c r="T3" s="3"/>
      <c r="U3" s="3"/>
      <c r="V3" s="3"/>
      <c r="W3" s="8"/>
      <c r="X3" s="10"/>
      <c r="Y3" s="11"/>
      <c r="Z3" s="11"/>
    </row>
    <row r="4" spans="2:26" s="1" customFormat="1" ht="20.25" customHeight="1" x14ac:dyDescent="0.25">
      <c r="B4" s="8"/>
      <c r="C4" s="8"/>
      <c r="D4" s="8"/>
      <c r="E4" s="8"/>
      <c r="F4" s="8"/>
      <c r="G4" s="3"/>
      <c r="H4" s="3"/>
      <c r="I4" s="12"/>
      <c r="J4" s="3"/>
      <c r="K4" s="8"/>
      <c r="L4" s="10"/>
      <c r="M4" s="11"/>
      <c r="N4" s="13"/>
      <c r="O4" s="11"/>
      <c r="P4" s="11"/>
      <c r="Q4" s="11"/>
      <c r="R4" s="11"/>
    </row>
    <row r="5" spans="2:26" s="1" customFormat="1" ht="20.25" customHeight="1" x14ac:dyDescent="0.25">
      <c r="B5" s="110" t="s">
        <v>2</v>
      </c>
      <c r="C5" s="110"/>
      <c r="D5" s="111" t="s">
        <v>45</v>
      </c>
      <c r="E5" s="111"/>
      <c r="F5" s="111"/>
      <c r="G5" s="111"/>
      <c r="H5" s="14"/>
      <c r="I5" s="15"/>
      <c r="J5" s="15"/>
      <c r="K5" s="110" t="s">
        <v>3</v>
      </c>
      <c r="L5" s="110"/>
      <c r="M5" s="111" t="s">
        <v>40</v>
      </c>
      <c r="N5" s="111"/>
    </row>
    <row r="6" spans="2:26" s="1" customFormat="1" ht="20.25" customHeight="1" x14ac:dyDescent="0.25">
      <c r="B6" s="110" t="s">
        <v>4</v>
      </c>
      <c r="C6" s="110"/>
      <c r="D6" s="111" t="s">
        <v>39</v>
      </c>
      <c r="E6" s="111"/>
      <c r="F6" s="111"/>
      <c r="G6" s="111"/>
      <c r="H6" s="14"/>
      <c r="I6" s="11"/>
      <c r="J6" s="11"/>
      <c r="K6" s="110" t="s">
        <v>5</v>
      </c>
      <c r="L6" s="110"/>
      <c r="M6" s="111" t="s">
        <v>53</v>
      </c>
      <c r="N6" s="111"/>
    </row>
    <row r="7" spans="2:26" ht="21" customHeight="1" thickBot="1" x14ac:dyDescent="0.25">
      <c r="C7" s="17"/>
      <c r="D7" s="17"/>
      <c r="E7" s="17"/>
    </row>
    <row r="8" spans="2:26" s="24" customFormat="1" ht="15.75" customHeight="1" thickBot="1" x14ac:dyDescent="0.25">
      <c r="B8" s="118" t="s">
        <v>6</v>
      </c>
      <c r="C8" s="119"/>
      <c r="D8" s="119"/>
      <c r="E8" s="119"/>
      <c r="F8" s="119"/>
      <c r="G8" s="119"/>
      <c r="H8" s="25" t="s">
        <v>7</v>
      </c>
      <c r="I8" s="120" t="s">
        <v>8</v>
      </c>
      <c r="J8" s="120"/>
      <c r="K8" s="120"/>
      <c r="L8" s="121"/>
      <c r="M8" s="122" t="s">
        <v>9</v>
      </c>
      <c r="N8" s="121"/>
    </row>
    <row r="9" spans="2:26" s="24" customFormat="1" ht="15.75" customHeight="1" x14ac:dyDescent="0.25">
      <c r="B9" s="26"/>
      <c r="C9" s="27"/>
      <c r="D9" s="27"/>
      <c r="E9" s="27"/>
      <c r="F9" s="27"/>
      <c r="G9" s="28"/>
      <c r="H9" s="29"/>
      <c r="I9" s="30"/>
      <c r="J9" s="30"/>
      <c r="K9" s="30"/>
      <c r="L9" s="21"/>
      <c r="M9" s="31" t="s">
        <v>10</v>
      </c>
      <c r="N9" s="32" t="s">
        <v>11</v>
      </c>
    </row>
    <row r="10" spans="2:26" s="24" customFormat="1" ht="15.75" customHeight="1" thickBot="1" x14ac:dyDescent="0.3">
      <c r="B10" s="33" t="s">
        <v>12</v>
      </c>
      <c r="C10" s="34" t="s">
        <v>13</v>
      </c>
      <c r="D10" s="35" t="s">
        <v>49</v>
      </c>
      <c r="E10" s="34"/>
      <c r="F10" s="34" t="s">
        <v>14</v>
      </c>
      <c r="G10" s="34" t="s">
        <v>15</v>
      </c>
      <c r="H10" s="36" t="s">
        <v>16</v>
      </c>
      <c r="I10" s="37" t="s">
        <v>17</v>
      </c>
      <c r="J10" s="37" t="s">
        <v>18</v>
      </c>
      <c r="K10" s="37" t="s">
        <v>19</v>
      </c>
      <c r="L10" s="22" t="s">
        <v>20</v>
      </c>
      <c r="M10" s="38" t="s">
        <v>21</v>
      </c>
      <c r="N10" s="39" t="s">
        <v>22</v>
      </c>
    </row>
    <row r="11" spans="2:26" s="24" customFormat="1" ht="15.75" customHeight="1" x14ac:dyDescent="0.2">
      <c r="B11" s="40"/>
      <c r="C11" s="41"/>
      <c r="D11" s="41"/>
      <c r="E11" s="41"/>
      <c r="F11" s="41"/>
      <c r="G11" s="42"/>
      <c r="H11" s="43"/>
      <c r="I11" s="44"/>
      <c r="J11" s="45"/>
      <c r="K11" s="46"/>
      <c r="L11" s="47"/>
      <c r="M11" s="48"/>
      <c r="N11" s="49"/>
      <c r="R11" s="50"/>
    </row>
    <row r="12" spans="2:26" s="24" customFormat="1" ht="15.75" customHeight="1" x14ac:dyDescent="0.2">
      <c r="B12" s="51">
        <v>45682</v>
      </c>
      <c r="C12" s="52">
        <v>200</v>
      </c>
      <c r="D12" s="52">
        <f>56+20</f>
        <v>76</v>
      </c>
      <c r="E12" s="52"/>
      <c r="F12" s="52">
        <v>70</v>
      </c>
      <c r="G12" s="53">
        <f>SUM(C12:F12)</f>
        <v>346</v>
      </c>
      <c r="H12" s="54">
        <f t="shared" ref="H12:H23" si="0">(C12*$E$29)+(D12*$E$30)+(E12*$E$31)+(F12*$E$32)</f>
        <v>1799.2</v>
      </c>
      <c r="I12" s="55">
        <f>(C12*$C$29)+(D12*$C$30)+(E12*$C$31)+(F12*$C$32)</f>
        <v>14750.74</v>
      </c>
      <c r="J12" s="23">
        <v>27209.33</v>
      </c>
      <c r="K12" s="23">
        <v>14050.01</v>
      </c>
      <c r="L12" s="53">
        <v>61</v>
      </c>
      <c r="M12" s="55">
        <f>H12+I12-K12</f>
        <v>2499.9299999999985</v>
      </c>
      <c r="N12" s="93">
        <f>K12/(H12+I12)</f>
        <v>0.84894628016778317</v>
      </c>
      <c r="Q12" s="50"/>
      <c r="R12" s="50"/>
    </row>
    <row r="13" spans="2:26" s="24" customFormat="1" ht="15.75" customHeight="1" x14ac:dyDescent="0.2">
      <c r="B13" s="51">
        <v>45713</v>
      </c>
      <c r="C13" s="52">
        <v>200</v>
      </c>
      <c r="D13" s="52">
        <v>76</v>
      </c>
      <c r="E13" s="52"/>
      <c r="F13" s="52">
        <v>70</v>
      </c>
      <c r="G13" s="53">
        <f t="shared" ref="G13:G23" si="1">SUM(C13:F13)</f>
        <v>346</v>
      </c>
      <c r="H13" s="54">
        <f t="shared" si="0"/>
        <v>1799.2</v>
      </c>
      <c r="I13" s="55">
        <f t="shared" ref="I13:I23" si="2">(C13*$C$29)+(D13*$C$30)+(E13*$C$31)+(F13*$C$32)</f>
        <v>14750.74</v>
      </c>
      <c r="J13" s="23">
        <v>23604</v>
      </c>
      <c r="K13" s="23">
        <v>15084.9</v>
      </c>
      <c r="L13" s="53">
        <v>61</v>
      </c>
      <c r="M13" s="55">
        <f t="shared" ref="M13:M23" si="3">H13+I13-K13</f>
        <v>1465.0399999999991</v>
      </c>
      <c r="N13" s="93">
        <f t="shared" ref="N13:N23" si="4">K13/(H13+I13)</f>
        <v>0.91147762469229499</v>
      </c>
      <c r="Q13" s="56"/>
      <c r="R13" s="50"/>
    </row>
    <row r="14" spans="2:26" s="24" customFormat="1" ht="15.75" customHeight="1" x14ac:dyDescent="0.2">
      <c r="B14" s="51">
        <v>45741</v>
      </c>
      <c r="C14" s="52">
        <v>200</v>
      </c>
      <c r="D14" s="52">
        <f>56+20</f>
        <v>76</v>
      </c>
      <c r="E14" s="52"/>
      <c r="F14" s="52">
        <v>70</v>
      </c>
      <c r="G14" s="53">
        <f t="shared" si="1"/>
        <v>346</v>
      </c>
      <c r="H14" s="54">
        <f t="shared" si="0"/>
        <v>1799.2</v>
      </c>
      <c r="I14" s="55">
        <f t="shared" si="2"/>
        <v>14750.74</v>
      </c>
      <c r="J14" s="23">
        <v>19605.3</v>
      </c>
      <c r="K14" s="23">
        <v>13888.92</v>
      </c>
      <c r="L14" s="53">
        <v>59</v>
      </c>
      <c r="M14" s="55">
        <f t="shared" si="3"/>
        <v>2661.0199999999986</v>
      </c>
      <c r="N14" s="93">
        <f t="shared" si="4"/>
        <v>0.8392127101367135</v>
      </c>
      <c r="Q14" s="56"/>
      <c r="R14" s="50"/>
    </row>
    <row r="15" spans="2:26" s="24" customFormat="1" ht="15.75" customHeight="1" x14ac:dyDescent="0.2">
      <c r="B15" s="51">
        <v>45772</v>
      </c>
      <c r="C15" s="52">
        <v>200</v>
      </c>
      <c r="D15" s="52">
        <v>76</v>
      </c>
      <c r="E15" s="52"/>
      <c r="F15" s="52">
        <v>70</v>
      </c>
      <c r="G15" s="53">
        <f t="shared" si="1"/>
        <v>346</v>
      </c>
      <c r="H15" s="54">
        <f t="shared" si="0"/>
        <v>1799.2</v>
      </c>
      <c r="I15" s="55">
        <f t="shared" si="2"/>
        <v>14750.74</v>
      </c>
      <c r="J15" s="23">
        <v>22921.88</v>
      </c>
      <c r="K15" s="23">
        <v>16447.36</v>
      </c>
      <c r="L15" s="53">
        <v>65</v>
      </c>
      <c r="M15" s="55">
        <f t="shared" si="3"/>
        <v>102.57999999999811</v>
      </c>
      <c r="N15" s="93">
        <f t="shared" si="4"/>
        <v>0.99380179021797066</v>
      </c>
      <c r="Q15" s="56"/>
      <c r="R15" s="50"/>
    </row>
    <row r="16" spans="2:26" s="24" customFormat="1" ht="15.75" customHeight="1" x14ac:dyDescent="0.2">
      <c r="B16" s="51">
        <v>45802</v>
      </c>
      <c r="C16" s="52">
        <v>199</v>
      </c>
      <c r="D16" s="52">
        <f>56+20</f>
        <v>76</v>
      </c>
      <c r="E16" s="52"/>
      <c r="F16" s="52">
        <v>70</v>
      </c>
      <c r="G16" s="53">
        <f t="shared" si="1"/>
        <v>345</v>
      </c>
      <c r="H16" s="54">
        <f t="shared" si="0"/>
        <v>1794</v>
      </c>
      <c r="I16" s="55">
        <f t="shared" si="2"/>
        <v>14724.42</v>
      </c>
      <c r="J16" s="23">
        <v>14504</v>
      </c>
      <c r="K16" s="23">
        <v>10424.17</v>
      </c>
      <c r="L16" s="53">
        <v>43</v>
      </c>
      <c r="M16" s="55">
        <f t="shared" si="3"/>
        <v>6094.2499999999982</v>
      </c>
      <c r="N16" s="93">
        <f t="shared" si="4"/>
        <v>0.63106338257533112</v>
      </c>
      <c r="Q16" s="56"/>
      <c r="R16" s="50"/>
    </row>
    <row r="17" spans="2:18" s="24" customFormat="1" ht="15.75" customHeight="1" x14ac:dyDescent="0.2">
      <c r="B17" s="51">
        <v>45833</v>
      </c>
      <c r="C17" s="52">
        <v>199</v>
      </c>
      <c r="D17" s="52">
        <f>56+20</f>
        <v>76</v>
      </c>
      <c r="E17" s="52"/>
      <c r="F17" s="52">
        <v>70</v>
      </c>
      <c r="G17" s="53">
        <f t="shared" si="1"/>
        <v>345</v>
      </c>
      <c r="H17" s="54">
        <f t="shared" si="0"/>
        <v>1794</v>
      </c>
      <c r="I17" s="55">
        <f t="shared" si="2"/>
        <v>14724.42</v>
      </c>
      <c r="J17" s="23">
        <v>13316.85</v>
      </c>
      <c r="K17" s="23">
        <v>8979.48</v>
      </c>
      <c r="L17" s="53">
        <v>39</v>
      </c>
      <c r="M17" s="55">
        <f t="shared" si="3"/>
        <v>7538.9399999999987</v>
      </c>
      <c r="N17" s="93">
        <f t="shared" si="4"/>
        <v>0.54360404929769313</v>
      </c>
      <c r="Q17" s="56"/>
      <c r="R17" s="50"/>
    </row>
    <row r="18" spans="2:18" s="24" customFormat="1" ht="15.75" customHeight="1" x14ac:dyDescent="0.2">
      <c r="B18" s="51">
        <v>45863</v>
      </c>
      <c r="C18" s="52">
        <v>200</v>
      </c>
      <c r="D18" s="52">
        <f>57+19</f>
        <v>76</v>
      </c>
      <c r="E18" s="52"/>
      <c r="F18" s="52">
        <v>71</v>
      </c>
      <c r="G18" s="53">
        <f t="shared" si="1"/>
        <v>347</v>
      </c>
      <c r="H18" s="54">
        <f t="shared" si="0"/>
        <v>1804.4</v>
      </c>
      <c r="I18" s="55">
        <f t="shared" si="2"/>
        <v>14830.47</v>
      </c>
      <c r="J18" s="23">
        <v>18458</v>
      </c>
      <c r="K18" s="23">
        <v>12559.97</v>
      </c>
      <c r="L18" s="53">
        <v>55</v>
      </c>
      <c r="M18" s="55">
        <f t="shared" si="3"/>
        <v>4074.8999999999996</v>
      </c>
      <c r="N18" s="93">
        <f t="shared" si="4"/>
        <v>0.7550386627608151</v>
      </c>
      <c r="Q18" s="56"/>
      <c r="R18" s="50"/>
    </row>
    <row r="19" spans="2:18" s="24" customFormat="1" ht="15.75" customHeight="1" x14ac:dyDescent="0.2">
      <c r="B19" s="51">
        <v>45894</v>
      </c>
      <c r="C19" s="52">
        <v>198</v>
      </c>
      <c r="D19" s="52">
        <f>57+19</f>
        <v>76</v>
      </c>
      <c r="E19" s="52"/>
      <c r="F19" s="52">
        <v>71</v>
      </c>
      <c r="G19" s="53">
        <f t="shared" si="1"/>
        <v>345</v>
      </c>
      <c r="H19" s="54">
        <f t="shared" si="0"/>
        <v>1794.0000000000002</v>
      </c>
      <c r="I19" s="55">
        <f t="shared" si="2"/>
        <v>14777.83</v>
      </c>
      <c r="J19" s="23">
        <v>36884.85</v>
      </c>
      <c r="K19" s="23">
        <v>22352.82</v>
      </c>
      <c r="L19" s="53">
        <v>93</v>
      </c>
      <c r="M19" s="55">
        <f t="shared" si="3"/>
        <v>-5780.989999999998</v>
      </c>
      <c r="N19" s="93">
        <f t="shared" si="4"/>
        <v>1.3488443943728603</v>
      </c>
      <c r="Q19" s="56"/>
      <c r="R19" s="50"/>
    </row>
    <row r="20" spans="2:18" s="24" customFormat="1" ht="15.75" customHeight="1" x14ac:dyDescent="0.2">
      <c r="B20" s="51">
        <v>45925</v>
      </c>
      <c r="C20" s="52"/>
      <c r="D20" s="52"/>
      <c r="E20" s="52"/>
      <c r="F20" s="52"/>
      <c r="G20" s="53">
        <f t="shared" si="1"/>
        <v>0</v>
      </c>
      <c r="H20" s="54">
        <f t="shared" si="0"/>
        <v>0</v>
      </c>
      <c r="I20" s="55">
        <f t="shared" si="2"/>
        <v>0</v>
      </c>
      <c r="J20" s="23"/>
      <c r="K20" s="23"/>
      <c r="L20" s="53"/>
      <c r="M20" s="55">
        <f t="shared" si="3"/>
        <v>0</v>
      </c>
      <c r="N20" s="102" t="e">
        <f t="shared" si="4"/>
        <v>#DIV/0!</v>
      </c>
      <c r="Q20" s="56"/>
      <c r="R20" s="50"/>
    </row>
    <row r="21" spans="2:18" s="24" customFormat="1" ht="15.75" customHeight="1" x14ac:dyDescent="0.2">
      <c r="B21" s="51">
        <v>45955</v>
      </c>
      <c r="C21" s="52"/>
      <c r="D21" s="52"/>
      <c r="E21" s="52"/>
      <c r="F21" s="52"/>
      <c r="G21" s="53">
        <f t="shared" si="1"/>
        <v>0</v>
      </c>
      <c r="H21" s="54">
        <f t="shared" si="0"/>
        <v>0</v>
      </c>
      <c r="I21" s="55">
        <f t="shared" si="2"/>
        <v>0</v>
      </c>
      <c r="J21" s="23"/>
      <c r="K21" s="23"/>
      <c r="L21" s="53"/>
      <c r="M21" s="55">
        <f t="shared" si="3"/>
        <v>0</v>
      </c>
      <c r="N21" s="102" t="e">
        <f t="shared" si="4"/>
        <v>#DIV/0!</v>
      </c>
      <c r="Q21" s="56"/>
      <c r="R21" s="50"/>
    </row>
    <row r="22" spans="2:18" s="24" customFormat="1" ht="15.75" customHeight="1" x14ac:dyDescent="0.2">
      <c r="B22" s="51">
        <v>45986</v>
      </c>
      <c r="C22" s="52"/>
      <c r="D22" s="52"/>
      <c r="E22" s="52"/>
      <c r="F22" s="52"/>
      <c r="G22" s="53">
        <f>SUM(C22:F22)</f>
        <v>0</v>
      </c>
      <c r="H22" s="54">
        <f t="shared" si="0"/>
        <v>0</v>
      </c>
      <c r="I22" s="55">
        <f t="shared" si="2"/>
        <v>0</v>
      </c>
      <c r="J22" s="23"/>
      <c r="K22" s="23"/>
      <c r="L22" s="53"/>
      <c r="M22" s="55">
        <f t="shared" si="3"/>
        <v>0</v>
      </c>
      <c r="N22" s="102" t="e">
        <f t="shared" si="4"/>
        <v>#DIV/0!</v>
      </c>
      <c r="Q22" s="56"/>
      <c r="R22" s="50"/>
    </row>
    <row r="23" spans="2:18" s="24" customFormat="1" ht="15.75" customHeight="1" x14ac:dyDescent="0.2">
      <c r="B23" s="51">
        <v>46016</v>
      </c>
      <c r="C23" s="52"/>
      <c r="D23" s="52"/>
      <c r="E23" s="52"/>
      <c r="F23" s="52"/>
      <c r="G23" s="53">
        <f t="shared" si="1"/>
        <v>0</v>
      </c>
      <c r="H23" s="54">
        <f t="shared" si="0"/>
        <v>0</v>
      </c>
      <c r="I23" s="55">
        <f t="shared" si="2"/>
        <v>0</v>
      </c>
      <c r="J23" s="23"/>
      <c r="K23" s="23"/>
      <c r="L23" s="53"/>
      <c r="M23" s="55">
        <f t="shared" si="3"/>
        <v>0</v>
      </c>
      <c r="N23" s="102" t="e">
        <f t="shared" si="4"/>
        <v>#DIV/0!</v>
      </c>
      <c r="Q23" s="56"/>
      <c r="R23" s="50"/>
    </row>
    <row r="24" spans="2:18" s="24" customFormat="1" ht="15.75" customHeight="1" thickBot="1" x14ac:dyDescent="0.25">
      <c r="B24" s="57"/>
      <c r="C24" s="58"/>
      <c r="D24" s="58"/>
      <c r="E24" s="58"/>
      <c r="F24" s="58"/>
      <c r="G24" s="59"/>
      <c r="H24" s="60"/>
      <c r="I24" s="61"/>
      <c r="J24" s="62"/>
      <c r="K24" s="63"/>
      <c r="L24" s="64"/>
      <c r="M24" s="65"/>
      <c r="N24" s="66"/>
    </row>
    <row r="25" spans="2:18" s="73" customFormat="1" ht="15.75" customHeight="1" thickBot="1" x14ac:dyDescent="0.3">
      <c r="B25" s="67" t="s">
        <v>23</v>
      </c>
      <c r="C25" s="68">
        <f>AVERAGEIF(C12:C23,"&gt;0")</f>
        <v>199.5</v>
      </c>
      <c r="D25" s="68">
        <f>AVERAGEIF(D12:D23,"&gt;0")</f>
        <v>76</v>
      </c>
      <c r="E25" s="68"/>
      <c r="F25" s="68">
        <f>AVERAGEIF(F12:F23,"&gt;0")</f>
        <v>70.25</v>
      </c>
      <c r="G25" s="68">
        <f>AVERAGEIF(G12:G23,"&gt;0")</f>
        <v>345.75</v>
      </c>
      <c r="H25" s="69">
        <f>SUM(H11:H23)</f>
        <v>14383.199999999999</v>
      </c>
      <c r="I25" s="69">
        <f>SUM(I11:I23)</f>
        <v>118060.1</v>
      </c>
      <c r="J25" s="70">
        <f>SUM(J11:J23)</f>
        <v>176504.21000000002</v>
      </c>
      <c r="K25" s="71">
        <f>SUM(K11:K23)</f>
        <v>113787.63</v>
      </c>
      <c r="L25" s="72">
        <f>SUM(L12:L23)</f>
        <v>476</v>
      </c>
      <c r="M25" s="69">
        <f>SUM(M12:M23)</f>
        <v>18655.669999999991</v>
      </c>
      <c r="N25" s="92">
        <f>IF((H25+I25)&gt;0,K25/(H25+I25),"")</f>
        <v>0.85914221406443358</v>
      </c>
    </row>
    <row r="26" spans="2:18" s="24" customFormat="1" ht="15.75" customHeight="1" x14ac:dyDescent="0.2">
      <c r="J26" s="74"/>
      <c r="L26" s="75"/>
    </row>
    <row r="27" spans="2:18" s="24" customFormat="1" ht="15.75" customHeight="1" x14ac:dyDescent="0.25">
      <c r="B27" s="123" t="s">
        <v>24</v>
      </c>
      <c r="C27" s="124"/>
      <c r="D27" s="124"/>
      <c r="E27" s="124"/>
      <c r="F27" s="124"/>
      <c r="G27" s="125"/>
      <c r="H27" s="76"/>
      <c r="J27" s="126" t="s">
        <v>25</v>
      </c>
      <c r="K27" s="127"/>
      <c r="L27" s="127"/>
      <c r="M27" s="127"/>
      <c r="N27" s="128"/>
    </row>
    <row r="28" spans="2:18" s="24" customFormat="1" ht="15.75" customHeight="1" x14ac:dyDescent="0.2">
      <c r="B28" s="77"/>
      <c r="C28" s="127" t="s">
        <v>26</v>
      </c>
      <c r="D28" s="128"/>
      <c r="E28" s="129" t="s">
        <v>27</v>
      </c>
      <c r="F28" s="128"/>
      <c r="G28" s="78" t="s">
        <v>15</v>
      </c>
      <c r="H28" s="74"/>
      <c r="J28" s="115" t="s">
        <v>28</v>
      </c>
      <c r="K28" s="116"/>
      <c r="L28" s="116"/>
      <c r="M28" s="117"/>
      <c r="N28" s="79">
        <f>J25/L25</f>
        <v>370.80716386554627</v>
      </c>
    </row>
    <row r="29" spans="2:18" s="24" customFormat="1" ht="15.75" customHeight="1" x14ac:dyDescent="0.2">
      <c r="B29" s="80" t="s">
        <v>29</v>
      </c>
      <c r="C29" s="112">
        <v>26.32</v>
      </c>
      <c r="D29" s="113"/>
      <c r="E29" s="114">
        <v>5.2</v>
      </c>
      <c r="F29" s="113"/>
      <c r="G29" s="81">
        <f>C29+E29</f>
        <v>31.52</v>
      </c>
      <c r="H29" s="82"/>
      <c r="J29" s="115" t="s">
        <v>30</v>
      </c>
      <c r="K29" s="116"/>
      <c r="L29" s="116"/>
      <c r="M29" s="117"/>
      <c r="N29" s="79">
        <f>K25/L25</f>
        <v>239.04964285714286</v>
      </c>
    </row>
    <row r="30" spans="2:18" s="24" customFormat="1" ht="15.75" customHeight="1" x14ac:dyDescent="0.2">
      <c r="B30" s="83" t="str">
        <f>IF(D10="E+1","EE &amp; One","EE &amp; Spouse")</f>
        <v>EE &amp; One</v>
      </c>
      <c r="C30" s="112">
        <v>51.39</v>
      </c>
      <c r="D30" s="113"/>
      <c r="E30" s="114">
        <v>5.2</v>
      </c>
      <c r="F30" s="113"/>
      <c r="G30" s="81">
        <f>C30+E30</f>
        <v>56.59</v>
      </c>
      <c r="H30" s="82"/>
      <c r="J30" s="115" t="s">
        <v>31</v>
      </c>
      <c r="K30" s="116"/>
      <c r="L30" s="116"/>
      <c r="M30" s="117"/>
      <c r="N30" s="84">
        <f>((L25/COUNTIF(G12:G23,"&gt;0"))*12)/G25</f>
        <v>2.0650759219088939</v>
      </c>
    </row>
    <row r="31" spans="2:18" s="24" customFormat="1" ht="15.75" customHeight="1" x14ac:dyDescent="0.2">
      <c r="B31" s="80"/>
      <c r="C31" s="114"/>
      <c r="D31" s="113"/>
      <c r="E31" s="114"/>
      <c r="F31" s="113"/>
      <c r="G31" s="81"/>
      <c r="H31" s="82"/>
      <c r="J31" s="115" t="s">
        <v>32</v>
      </c>
      <c r="K31" s="116"/>
      <c r="L31" s="116"/>
      <c r="M31" s="117"/>
      <c r="N31" s="85">
        <f>K25/J25</f>
        <v>0.64467374460926452</v>
      </c>
    </row>
    <row r="32" spans="2:18" s="24" customFormat="1" ht="15.75" customHeight="1" x14ac:dyDescent="0.2">
      <c r="B32" s="80" t="s">
        <v>33</v>
      </c>
      <c r="C32" s="112">
        <v>79.73</v>
      </c>
      <c r="D32" s="113"/>
      <c r="E32" s="114">
        <v>5.2</v>
      </c>
      <c r="F32" s="113"/>
      <c r="G32" s="81">
        <f>C32+E32</f>
        <v>84.93</v>
      </c>
      <c r="H32" s="82"/>
      <c r="J32" s="115" t="s">
        <v>34</v>
      </c>
      <c r="K32" s="116"/>
      <c r="L32" s="116"/>
      <c r="M32" s="117"/>
      <c r="N32" s="79">
        <f>K25/G25/(COUNTIF(G12:G23,"&gt;0"))</f>
        <v>41.137971800433839</v>
      </c>
    </row>
    <row r="33" spans="2:14" s="24" customFormat="1" ht="15.75" customHeight="1" x14ac:dyDescent="0.2">
      <c r="C33" s="82"/>
      <c r="D33" s="82"/>
      <c r="E33" s="82"/>
      <c r="F33" s="86"/>
      <c r="G33" s="82"/>
      <c r="H33" s="82"/>
      <c r="J33" s="87"/>
      <c r="K33" s="87"/>
      <c r="L33" s="87"/>
      <c r="M33" s="87"/>
      <c r="N33" s="88"/>
    </row>
    <row r="34" spans="2:14" s="24" customFormat="1" ht="15.75" customHeight="1" thickBot="1" x14ac:dyDescent="0.25">
      <c r="J34" s="74"/>
      <c r="L34" s="75"/>
    </row>
    <row r="35" spans="2:14" s="24" customFormat="1" ht="15.75" customHeight="1" thickBot="1" x14ac:dyDescent="0.3">
      <c r="B35" s="136" t="s">
        <v>35</v>
      </c>
      <c r="C35" s="136"/>
      <c r="D35" s="136"/>
      <c r="E35" s="136"/>
      <c r="F35" s="136"/>
      <c r="G35" s="136"/>
      <c r="H35" s="76"/>
      <c r="J35" s="164" t="s">
        <v>46</v>
      </c>
      <c r="K35" s="165"/>
      <c r="L35" s="165"/>
      <c r="M35" s="165"/>
      <c r="N35" s="166"/>
    </row>
    <row r="36" spans="2:14" s="24" customFormat="1" ht="15.75" customHeight="1" x14ac:dyDescent="0.2">
      <c r="B36" s="130" t="s">
        <v>55</v>
      </c>
      <c r="C36" s="131"/>
      <c r="D36" s="131"/>
      <c r="E36" s="131"/>
      <c r="F36" s="131"/>
      <c r="G36" s="132"/>
      <c r="H36" s="89"/>
      <c r="J36" s="161" t="s">
        <v>28</v>
      </c>
      <c r="K36" s="162"/>
      <c r="L36" s="162"/>
      <c r="M36" s="163"/>
      <c r="N36" s="94">
        <v>357.17</v>
      </c>
    </row>
    <row r="37" spans="2:14" s="24" customFormat="1" ht="15.75" customHeight="1" x14ac:dyDescent="0.2">
      <c r="B37" s="155" t="s">
        <v>56</v>
      </c>
      <c r="C37" s="156"/>
      <c r="D37" s="156"/>
      <c r="E37" s="156"/>
      <c r="F37" s="156"/>
      <c r="G37" s="157"/>
      <c r="H37" s="89"/>
      <c r="J37" s="161" t="s">
        <v>30</v>
      </c>
      <c r="K37" s="162"/>
      <c r="L37" s="162"/>
      <c r="M37" s="163"/>
      <c r="N37" s="94">
        <v>216.48</v>
      </c>
    </row>
    <row r="38" spans="2:14" s="24" customFormat="1" ht="15.75" customHeight="1" x14ac:dyDescent="0.2">
      <c r="B38" s="155" t="s">
        <v>41</v>
      </c>
      <c r="C38" s="156"/>
      <c r="D38" s="156"/>
      <c r="E38" s="156"/>
      <c r="F38" s="156"/>
      <c r="G38" s="157"/>
      <c r="H38" s="89"/>
      <c r="J38" s="161" t="s">
        <v>31</v>
      </c>
      <c r="K38" s="162"/>
      <c r="L38" s="162"/>
      <c r="M38" s="163"/>
      <c r="N38" s="95">
        <v>2.0299999999999998</v>
      </c>
    </row>
    <row r="39" spans="2:14" s="24" customFormat="1" ht="15.75" customHeight="1" x14ac:dyDescent="0.2">
      <c r="B39" s="155" t="s">
        <v>42</v>
      </c>
      <c r="C39" s="156"/>
      <c r="D39" s="156"/>
      <c r="E39" s="156"/>
      <c r="F39" s="156"/>
      <c r="G39" s="157"/>
      <c r="H39" s="89"/>
      <c r="J39" s="161" t="s">
        <v>32</v>
      </c>
      <c r="K39" s="162"/>
      <c r="L39" s="162"/>
      <c r="M39" s="163"/>
      <c r="N39" s="96">
        <v>0.60609999999999997</v>
      </c>
    </row>
    <row r="40" spans="2:14" s="24" customFormat="1" ht="15.75" customHeight="1" thickBot="1" x14ac:dyDescent="0.25">
      <c r="B40" s="140" t="s">
        <v>37</v>
      </c>
      <c r="C40" s="141"/>
      <c r="D40" s="141"/>
      <c r="E40" s="141"/>
      <c r="F40" s="141"/>
      <c r="G40" s="142"/>
      <c r="H40" s="89"/>
      <c r="J40" s="161" t="s">
        <v>34</v>
      </c>
      <c r="K40" s="162"/>
      <c r="L40" s="162"/>
      <c r="M40" s="163"/>
      <c r="N40" s="94">
        <v>36.69</v>
      </c>
    </row>
    <row r="41" spans="2:14" s="24" customFormat="1" ht="15.75" x14ac:dyDescent="0.25">
      <c r="J41" s="158" t="s">
        <v>47</v>
      </c>
      <c r="K41" s="159"/>
      <c r="L41" s="159"/>
      <c r="M41" s="160"/>
      <c r="N41" s="97">
        <v>45054.81</v>
      </c>
    </row>
    <row r="42" spans="2:14" s="24" customFormat="1" ht="15" x14ac:dyDescent="0.2">
      <c r="J42" s="74"/>
      <c r="L42" s="75"/>
    </row>
    <row r="43" spans="2:14" s="24" customFormat="1" ht="10.15" customHeight="1" x14ac:dyDescent="0.2">
      <c r="B43" s="146" t="s">
        <v>54</v>
      </c>
      <c r="C43" s="147"/>
      <c r="D43" s="147"/>
      <c r="E43" s="147"/>
      <c r="F43" s="147"/>
      <c r="G43" s="147"/>
      <c r="H43" s="147"/>
      <c r="I43" s="147"/>
      <c r="J43" s="147"/>
      <c r="K43" s="147"/>
      <c r="L43" s="147"/>
      <c r="M43" s="147"/>
      <c r="N43" s="148"/>
    </row>
    <row r="44" spans="2:14" s="24" customFormat="1" ht="10.15" customHeight="1" x14ac:dyDescent="0.2">
      <c r="B44" s="149"/>
      <c r="C44" s="150"/>
      <c r="D44" s="150"/>
      <c r="E44" s="150"/>
      <c r="F44" s="150"/>
      <c r="G44" s="150"/>
      <c r="H44" s="150"/>
      <c r="I44" s="150"/>
      <c r="J44" s="150"/>
      <c r="K44" s="150"/>
      <c r="L44" s="150"/>
      <c r="M44" s="150"/>
      <c r="N44" s="151"/>
    </row>
    <row r="45" spans="2:14" s="24" customFormat="1" ht="10.15" customHeight="1" x14ac:dyDescent="0.2">
      <c r="B45" s="149"/>
      <c r="C45" s="150"/>
      <c r="D45" s="150"/>
      <c r="E45" s="150"/>
      <c r="F45" s="150"/>
      <c r="G45" s="150"/>
      <c r="H45" s="150"/>
      <c r="I45" s="150"/>
      <c r="J45" s="150"/>
      <c r="K45" s="150"/>
      <c r="L45" s="150"/>
      <c r="M45" s="150"/>
      <c r="N45" s="151"/>
    </row>
    <row r="46" spans="2:14" s="24" customFormat="1" ht="10.15" customHeight="1" x14ac:dyDescent="0.2">
      <c r="B46" s="149"/>
      <c r="C46" s="150"/>
      <c r="D46" s="150"/>
      <c r="E46" s="150"/>
      <c r="F46" s="150"/>
      <c r="G46" s="150"/>
      <c r="H46" s="150"/>
      <c r="I46" s="150"/>
      <c r="J46" s="150"/>
      <c r="K46" s="150"/>
      <c r="L46" s="150"/>
      <c r="M46" s="150"/>
      <c r="N46" s="151"/>
    </row>
    <row r="47" spans="2:14" s="24" customFormat="1" ht="10.15" customHeight="1" x14ac:dyDescent="0.2">
      <c r="B47" s="149"/>
      <c r="C47" s="150"/>
      <c r="D47" s="150"/>
      <c r="E47" s="150"/>
      <c r="F47" s="150"/>
      <c r="G47" s="150"/>
      <c r="H47" s="150"/>
      <c r="I47" s="150"/>
      <c r="J47" s="150"/>
      <c r="K47" s="150"/>
      <c r="L47" s="150"/>
      <c r="M47" s="150"/>
      <c r="N47" s="151"/>
    </row>
    <row r="48" spans="2:14" s="24" customFormat="1" ht="10.15" customHeight="1" x14ac:dyDescent="0.2">
      <c r="B48" s="149"/>
      <c r="C48" s="150"/>
      <c r="D48" s="150"/>
      <c r="E48" s="150"/>
      <c r="F48" s="150"/>
      <c r="G48" s="150"/>
      <c r="H48" s="150"/>
      <c r="I48" s="150"/>
      <c r="J48" s="150"/>
      <c r="K48" s="150"/>
      <c r="L48" s="150"/>
      <c r="M48" s="150"/>
      <c r="N48" s="151"/>
    </row>
    <row r="49" spans="2:14" s="24" customFormat="1" ht="10.15" customHeight="1" x14ac:dyDescent="0.2">
      <c r="B49" s="152"/>
      <c r="C49" s="153"/>
      <c r="D49" s="153"/>
      <c r="E49" s="153"/>
      <c r="F49" s="153"/>
      <c r="G49" s="153"/>
      <c r="H49" s="153"/>
      <c r="I49" s="153"/>
      <c r="J49" s="153"/>
      <c r="K49" s="153"/>
      <c r="L49" s="153"/>
      <c r="M49" s="153"/>
      <c r="N49" s="154"/>
    </row>
    <row r="50" spans="2:14" s="24" customFormat="1" ht="10.15" customHeight="1" x14ac:dyDescent="0.2">
      <c r="J50" s="74"/>
      <c r="L50" s="75"/>
    </row>
  </sheetData>
  <mergeCells count="44">
    <mergeCell ref="B39:G39"/>
    <mergeCell ref="B40:G40"/>
    <mergeCell ref="J41:M41"/>
    <mergeCell ref="J39:M39"/>
    <mergeCell ref="J40:M40"/>
    <mergeCell ref="J35:N35"/>
    <mergeCell ref="J36:M36"/>
    <mergeCell ref="J37:M37"/>
    <mergeCell ref="J38:M38"/>
    <mergeCell ref="B35:G35"/>
    <mergeCell ref="B36:G36"/>
    <mergeCell ref="B37:G37"/>
    <mergeCell ref="B38:G38"/>
    <mergeCell ref="C28:D28"/>
    <mergeCell ref="E28:F28"/>
    <mergeCell ref="J28:M28"/>
    <mergeCell ref="J32:M32"/>
    <mergeCell ref="C29:D29"/>
    <mergeCell ref="E29:F29"/>
    <mergeCell ref="J29:M29"/>
    <mergeCell ref="C30:D30"/>
    <mergeCell ref="E30:F30"/>
    <mergeCell ref="J30:M30"/>
    <mergeCell ref="C31:D31"/>
    <mergeCell ref="E31:F31"/>
    <mergeCell ref="J31:M31"/>
    <mergeCell ref="C32:D32"/>
    <mergeCell ref="E32:F32"/>
    <mergeCell ref="B43:N49"/>
    <mergeCell ref="B1:N1"/>
    <mergeCell ref="B2:N2"/>
    <mergeCell ref="B5:C5"/>
    <mergeCell ref="D5:G5"/>
    <mergeCell ref="K5:L5"/>
    <mergeCell ref="M5:N5"/>
    <mergeCell ref="B6:C6"/>
    <mergeCell ref="D6:G6"/>
    <mergeCell ref="K6:L6"/>
    <mergeCell ref="M6:N6"/>
    <mergeCell ref="B8:G8"/>
    <mergeCell ref="I8:L8"/>
    <mergeCell ref="M8:N8"/>
    <mergeCell ref="B27:G27"/>
    <mergeCell ref="J27:N27"/>
  </mergeCells>
  <phoneticPr fontId="0" type="noConversion"/>
  <pageMargins left="0.7" right="0.7" top="0.75" bottom="0.75" header="0.3" footer="0.3"/>
  <pageSetup scale="68"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Z50"/>
  <sheetViews>
    <sheetView topLeftCell="A2" workbookViewId="0">
      <selection activeCell="O6" sqref="O6"/>
    </sheetView>
  </sheetViews>
  <sheetFormatPr defaultColWidth="9.140625" defaultRowHeight="10.15" customHeight="1" x14ac:dyDescent="0.2"/>
  <cols>
    <col min="1" max="1" width="5" style="16" customWidth="1"/>
    <col min="2" max="2" width="14.7109375" style="16" customWidth="1"/>
    <col min="3" max="6" width="8.7109375" style="16" customWidth="1"/>
    <col min="7" max="7" width="10.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2:26" s="1" customFormat="1" ht="20.25" customHeight="1" x14ac:dyDescent="0.25">
      <c r="B1" s="108" t="s">
        <v>51</v>
      </c>
      <c r="C1" s="108"/>
      <c r="D1" s="108"/>
      <c r="E1" s="108"/>
      <c r="F1" s="108"/>
      <c r="G1" s="108"/>
      <c r="H1" s="108"/>
      <c r="I1" s="108"/>
      <c r="J1" s="108"/>
      <c r="K1" s="108"/>
      <c r="L1" s="108"/>
      <c r="M1" s="108"/>
      <c r="N1" s="108"/>
    </row>
    <row r="2" spans="2:26" s="1" customFormat="1" ht="20.25" customHeight="1" x14ac:dyDescent="0.25">
      <c r="B2" s="109" t="s">
        <v>50</v>
      </c>
      <c r="C2" s="109"/>
      <c r="D2" s="109"/>
      <c r="E2" s="109"/>
      <c r="F2" s="109"/>
      <c r="G2" s="109"/>
      <c r="H2" s="109"/>
      <c r="I2" s="109"/>
      <c r="J2" s="109"/>
      <c r="K2" s="109"/>
      <c r="L2" s="109"/>
      <c r="M2" s="109"/>
      <c r="N2" s="109"/>
      <c r="O2" s="3"/>
      <c r="P2" s="3"/>
      <c r="Q2" s="4"/>
      <c r="R2" s="3"/>
      <c r="S2" s="3"/>
      <c r="T2" s="3"/>
      <c r="U2" s="3"/>
      <c r="V2" s="3"/>
      <c r="W2" s="3"/>
      <c r="X2" s="3"/>
      <c r="Y2" s="3"/>
      <c r="Z2" s="3"/>
    </row>
    <row r="3" spans="2:26" s="1" customFormat="1" ht="20.25" customHeight="1" x14ac:dyDescent="0.25">
      <c r="G3" s="5" t="s">
        <v>0</v>
      </c>
      <c r="H3" s="6">
        <v>45658</v>
      </c>
      <c r="I3" s="2" t="s">
        <v>1</v>
      </c>
      <c r="J3" s="6">
        <v>46022</v>
      </c>
      <c r="L3" s="7"/>
      <c r="O3" s="8"/>
      <c r="P3" s="8"/>
      <c r="Q3" s="9"/>
      <c r="R3" s="20"/>
      <c r="S3" s="3"/>
      <c r="T3" s="3"/>
      <c r="U3" s="3"/>
      <c r="V3" s="3"/>
      <c r="W3" s="8"/>
      <c r="X3" s="10"/>
      <c r="Y3" s="11"/>
      <c r="Z3" s="11"/>
    </row>
    <row r="4" spans="2:26" s="1" customFormat="1" ht="20.25" customHeight="1" x14ac:dyDescent="0.25">
      <c r="B4" s="8"/>
      <c r="C4" s="8"/>
      <c r="D4" s="8"/>
      <c r="E4" s="8"/>
      <c r="F4" s="8"/>
      <c r="G4" s="3"/>
      <c r="H4" s="3"/>
      <c r="I4" s="12"/>
      <c r="J4" s="3"/>
      <c r="K4" s="8"/>
      <c r="L4" s="10"/>
      <c r="M4" s="11"/>
      <c r="N4" s="13"/>
      <c r="O4" s="11"/>
      <c r="P4" s="11"/>
      <c r="Q4" s="11"/>
      <c r="R4" s="11"/>
    </row>
    <row r="5" spans="2:26" s="1" customFormat="1" ht="20.25" customHeight="1" x14ac:dyDescent="0.25">
      <c r="B5" s="110" t="s">
        <v>2</v>
      </c>
      <c r="C5" s="110"/>
      <c r="D5" s="111" t="s">
        <v>45</v>
      </c>
      <c r="E5" s="111"/>
      <c r="F5" s="111"/>
      <c r="G5" s="111"/>
      <c r="H5" s="14"/>
      <c r="I5" s="15"/>
      <c r="J5" s="15"/>
      <c r="K5" s="110" t="s">
        <v>3</v>
      </c>
      <c r="L5" s="110"/>
      <c r="M5" s="111" t="s">
        <v>43</v>
      </c>
      <c r="N5" s="111"/>
    </row>
    <row r="6" spans="2:26" s="1" customFormat="1" ht="20.25" customHeight="1" x14ac:dyDescent="0.25">
      <c r="B6" s="110" t="s">
        <v>4</v>
      </c>
      <c r="C6" s="110"/>
      <c r="D6" s="111" t="s">
        <v>39</v>
      </c>
      <c r="E6" s="111"/>
      <c r="F6" s="111"/>
      <c r="G6" s="111"/>
      <c r="H6" s="14"/>
      <c r="I6" s="11"/>
      <c r="J6" s="11"/>
      <c r="K6" s="110" t="s">
        <v>5</v>
      </c>
      <c r="L6" s="110"/>
      <c r="M6" s="111" t="s">
        <v>52</v>
      </c>
      <c r="N6" s="111"/>
    </row>
    <row r="7" spans="2:26" ht="21" customHeight="1" thickBot="1" x14ac:dyDescent="0.25">
      <c r="C7" s="17"/>
      <c r="D7" s="17"/>
      <c r="E7" s="17"/>
    </row>
    <row r="8" spans="2:26" s="24" customFormat="1" ht="15.75" customHeight="1" thickBot="1" x14ac:dyDescent="0.25">
      <c r="B8" s="118" t="s">
        <v>6</v>
      </c>
      <c r="C8" s="119"/>
      <c r="D8" s="119"/>
      <c r="E8" s="119"/>
      <c r="F8" s="119"/>
      <c r="G8" s="119"/>
      <c r="H8" s="25" t="s">
        <v>7</v>
      </c>
      <c r="I8" s="120" t="s">
        <v>8</v>
      </c>
      <c r="J8" s="120"/>
      <c r="K8" s="120"/>
      <c r="L8" s="121"/>
      <c r="M8" s="122" t="s">
        <v>9</v>
      </c>
      <c r="N8" s="121"/>
    </row>
    <row r="9" spans="2:26" s="24" customFormat="1" ht="15.75" customHeight="1" x14ac:dyDescent="0.25">
      <c r="B9" s="26"/>
      <c r="C9" s="27"/>
      <c r="D9" s="27"/>
      <c r="E9" s="27"/>
      <c r="F9" s="27"/>
      <c r="G9" s="28"/>
      <c r="H9" s="29"/>
      <c r="I9" s="30"/>
      <c r="J9" s="30"/>
      <c r="K9" s="30"/>
      <c r="L9" s="21"/>
      <c r="M9" s="31" t="s">
        <v>10</v>
      </c>
      <c r="N9" s="32" t="s">
        <v>11</v>
      </c>
    </row>
    <row r="10" spans="2:26" s="24" customFormat="1" ht="15.75" customHeight="1" thickBot="1" x14ac:dyDescent="0.3">
      <c r="B10" s="33" t="s">
        <v>12</v>
      </c>
      <c r="C10" s="34" t="s">
        <v>13</v>
      </c>
      <c r="D10" s="35" t="s">
        <v>49</v>
      </c>
      <c r="E10" s="34"/>
      <c r="F10" s="34" t="s">
        <v>14</v>
      </c>
      <c r="G10" s="34" t="s">
        <v>15</v>
      </c>
      <c r="H10" s="36" t="s">
        <v>16</v>
      </c>
      <c r="I10" s="37" t="s">
        <v>17</v>
      </c>
      <c r="J10" s="37" t="s">
        <v>18</v>
      </c>
      <c r="K10" s="37" t="s">
        <v>19</v>
      </c>
      <c r="L10" s="22" t="s">
        <v>20</v>
      </c>
      <c r="M10" s="38" t="s">
        <v>21</v>
      </c>
      <c r="N10" s="39" t="s">
        <v>22</v>
      </c>
    </row>
    <row r="11" spans="2:26" s="24" customFormat="1" ht="15.75" customHeight="1" x14ac:dyDescent="0.2">
      <c r="B11" s="40"/>
      <c r="C11" s="41"/>
      <c r="D11" s="41"/>
      <c r="E11" s="41"/>
      <c r="F11" s="41"/>
      <c r="G11" s="42"/>
      <c r="H11" s="43"/>
      <c r="I11" s="44"/>
      <c r="J11" s="45"/>
      <c r="K11" s="46"/>
      <c r="L11" s="47"/>
      <c r="M11" s="48"/>
      <c r="N11" s="49"/>
      <c r="R11" s="50"/>
    </row>
    <row r="12" spans="2:26" s="24" customFormat="1" ht="15.75" customHeight="1" x14ac:dyDescent="0.2">
      <c r="B12" s="51">
        <v>45682</v>
      </c>
      <c r="C12" s="52">
        <v>91</v>
      </c>
      <c r="D12" s="52">
        <f>27+29</f>
        <v>56</v>
      </c>
      <c r="E12" s="52"/>
      <c r="F12" s="52">
        <v>96</v>
      </c>
      <c r="G12" s="53">
        <f>C12+D12+F12</f>
        <v>243</v>
      </c>
      <c r="H12" s="54">
        <f>(C12*$E$29)+(D12*$E$30)+(E12*$E$31)+(F12*$E$32)</f>
        <v>1263.5999999999999</v>
      </c>
      <c r="I12" s="55">
        <f>(C12*$C$29)+(D12*$C$30)+(E12*$C$31)+(F12*$C$32)</f>
        <v>18692.05</v>
      </c>
      <c r="J12" s="23">
        <v>27363.14</v>
      </c>
      <c r="K12" s="23">
        <v>19051.09</v>
      </c>
      <c r="L12" s="53">
        <v>72</v>
      </c>
      <c r="M12" s="55">
        <f>H12+I12-K12</f>
        <v>904.55999999999767</v>
      </c>
      <c r="N12" s="93">
        <f>K12/(H12+I12)</f>
        <v>0.95467148401580515</v>
      </c>
      <c r="Q12" s="50"/>
      <c r="R12" s="50"/>
    </row>
    <row r="13" spans="2:26" s="24" customFormat="1" ht="15.75" customHeight="1" x14ac:dyDescent="0.2">
      <c r="B13" s="51">
        <v>45713</v>
      </c>
      <c r="C13" s="52">
        <v>91</v>
      </c>
      <c r="D13" s="52">
        <f>27+30</f>
        <v>57</v>
      </c>
      <c r="E13" s="52"/>
      <c r="F13" s="52">
        <v>96</v>
      </c>
      <c r="G13" s="53">
        <f t="shared" ref="G13:G23" si="0">C13+D13+F13</f>
        <v>244</v>
      </c>
      <c r="H13" s="54">
        <f t="shared" ref="H13:H23" si="1">(C13*$E$29)+(D13*$E$30)+(E13*$E$31)+(F13*$E$32)</f>
        <v>1268.8000000000002</v>
      </c>
      <c r="I13" s="55">
        <f t="shared" ref="I13:I23" si="2">(C13*$C$29)+(D13*$C$30)+(E13*$C$31)+(F13*$C$32)</f>
        <v>18765.240000000002</v>
      </c>
      <c r="J13" s="23">
        <f>26693.14+6248.6</f>
        <v>32941.74</v>
      </c>
      <c r="K13" s="23">
        <f>17887.55+6248.6</f>
        <v>24136.15</v>
      </c>
      <c r="L13" s="53">
        <v>63</v>
      </c>
      <c r="M13" s="55">
        <f t="shared" ref="M13:M23" si="3">H13+I13-K13</f>
        <v>-4102.1100000000006</v>
      </c>
      <c r="N13" s="93">
        <f t="shared" ref="N13:N23" si="4">K13/(H13+I13)</f>
        <v>1.2047570035799071</v>
      </c>
      <c r="Q13" s="56"/>
      <c r="R13" s="50"/>
    </row>
    <row r="14" spans="2:26" s="24" customFormat="1" ht="15.75" customHeight="1" x14ac:dyDescent="0.2">
      <c r="B14" s="51">
        <v>45741</v>
      </c>
      <c r="C14" s="52">
        <v>91</v>
      </c>
      <c r="D14" s="52">
        <f>27+30</f>
        <v>57</v>
      </c>
      <c r="E14" s="52"/>
      <c r="F14" s="52">
        <v>97</v>
      </c>
      <c r="G14" s="53">
        <f t="shared" si="0"/>
        <v>245</v>
      </c>
      <c r="H14" s="54">
        <f t="shared" si="1"/>
        <v>1274</v>
      </c>
      <c r="I14" s="55">
        <f t="shared" si="2"/>
        <v>18880.939999999999</v>
      </c>
      <c r="J14" s="23">
        <f>24582.6+3109.6</f>
        <v>27692.199999999997</v>
      </c>
      <c r="K14" s="23">
        <f>16890.39+3109.6</f>
        <v>19999.989999999998</v>
      </c>
      <c r="L14" s="53">
        <v>72</v>
      </c>
      <c r="M14" s="55">
        <f t="shared" si="3"/>
        <v>154.95000000000073</v>
      </c>
      <c r="N14" s="93">
        <f t="shared" si="4"/>
        <v>0.99231205848293269</v>
      </c>
      <c r="Q14" s="56"/>
      <c r="R14" s="50"/>
    </row>
    <row r="15" spans="2:26" s="24" customFormat="1" ht="15.75" customHeight="1" x14ac:dyDescent="0.2">
      <c r="B15" s="51">
        <v>45772</v>
      </c>
      <c r="C15" s="52">
        <v>91</v>
      </c>
      <c r="D15" s="52">
        <v>57</v>
      </c>
      <c r="E15" s="52"/>
      <c r="F15" s="52">
        <v>96</v>
      </c>
      <c r="G15" s="53">
        <f t="shared" si="0"/>
        <v>244</v>
      </c>
      <c r="H15" s="54">
        <f t="shared" si="1"/>
        <v>1268.8000000000002</v>
      </c>
      <c r="I15" s="55">
        <f t="shared" si="2"/>
        <v>18765.240000000002</v>
      </c>
      <c r="J15" s="23">
        <f>34193.7+3057.6</f>
        <v>37251.299999999996</v>
      </c>
      <c r="K15" s="23">
        <f>22361.61+3057.6</f>
        <v>25419.21</v>
      </c>
      <c r="L15" s="53">
        <v>79</v>
      </c>
      <c r="M15" s="55">
        <f t="shared" si="3"/>
        <v>-5385.1699999999983</v>
      </c>
      <c r="N15" s="93">
        <f t="shared" si="4"/>
        <v>1.268801000696814</v>
      </c>
      <c r="Q15" s="56"/>
      <c r="R15" s="50"/>
    </row>
    <row r="16" spans="2:26" s="24" customFormat="1" ht="15.75" customHeight="1" x14ac:dyDescent="0.2">
      <c r="B16" s="51">
        <v>45802</v>
      </c>
      <c r="C16" s="52">
        <v>91</v>
      </c>
      <c r="D16" s="52">
        <f>28+30</f>
        <v>58</v>
      </c>
      <c r="E16" s="52"/>
      <c r="F16" s="52">
        <v>95</v>
      </c>
      <c r="G16" s="53">
        <f t="shared" si="0"/>
        <v>244</v>
      </c>
      <c r="H16" s="54">
        <f t="shared" si="1"/>
        <v>1268.8</v>
      </c>
      <c r="I16" s="55">
        <f t="shared" si="2"/>
        <v>18722.73</v>
      </c>
      <c r="J16" s="23">
        <f>30249.64+3073.2</f>
        <v>33322.839999999997</v>
      </c>
      <c r="K16" s="23">
        <f>19202.74+3073.2</f>
        <v>22275.940000000002</v>
      </c>
      <c r="L16" s="53">
        <v>66</v>
      </c>
      <c r="M16" s="55">
        <f t="shared" si="3"/>
        <v>-2284.4100000000035</v>
      </c>
      <c r="N16" s="93">
        <f t="shared" si="4"/>
        <v>1.1142688928761333</v>
      </c>
      <c r="Q16" s="56"/>
      <c r="R16" s="50"/>
    </row>
    <row r="17" spans="2:18" s="24" customFormat="1" ht="15.75" customHeight="1" x14ac:dyDescent="0.2">
      <c r="B17" s="51">
        <v>45833</v>
      </c>
      <c r="C17" s="52">
        <v>90</v>
      </c>
      <c r="D17" s="52">
        <f>28+31</f>
        <v>59</v>
      </c>
      <c r="E17" s="52"/>
      <c r="F17" s="52">
        <v>93</v>
      </c>
      <c r="G17" s="53">
        <f t="shared" si="0"/>
        <v>242</v>
      </c>
      <c r="H17" s="54">
        <f t="shared" si="1"/>
        <v>1258.4000000000001</v>
      </c>
      <c r="I17" s="55">
        <f t="shared" si="2"/>
        <v>18526.21</v>
      </c>
      <c r="J17" s="23">
        <f>34404.42+3042</f>
        <v>37446.42</v>
      </c>
      <c r="K17" s="23">
        <f>21749.57-3042</f>
        <v>18707.57</v>
      </c>
      <c r="L17" s="53">
        <v>71</v>
      </c>
      <c r="M17" s="55">
        <f t="shared" si="3"/>
        <v>1077.0400000000009</v>
      </c>
      <c r="N17" s="93">
        <f t="shared" si="4"/>
        <v>0.94556172701913255</v>
      </c>
      <c r="Q17" s="56"/>
      <c r="R17" s="50"/>
    </row>
    <row r="18" spans="2:18" s="24" customFormat="1" ht="15.75" customHeight="1" x14ac:dyDescent="0.2">
      <c r="B18" s="51">
        <v>45863</v>
      </c>
      <c r="C18" s="52">
        <v>90</v>
      </c>
      <c r="D18" s="52">
        <f>28+31</f>
        <v>59</v>
      </c>
      <c r="E18" s="52"/>
      <c r="F18" s="52">
        <v>93</v>
      </c>
      <c r="G18" s="53">
        <f t="shared" si="0"/>
        <v>242</v>
      </c>
      <c r="H18" s="54">
        <f t="shared" si="1"/>
        <v>1258.4000000000001</v>
      </c>
      <c r="I18" s="55">
        <f t="shared" si="2"/>
        <v>18526.21</v>
      </c>
      <c r="J18" s="23">
        <f>34526.88+3052.4</f>
        <v>37579.279999999999</v>
      </c>
      <c r="K18" s="23">
        <f>20104.26+3052.4</f>
        <v>23156.66</v>
      </c>
      <c r="L18" s="53">
        <v>67</v>
      </c>
      <c r="M18" s="55">
        <f t="shared" si="3"/>
        <v>-3372.0499999999993</v>
      </c>
      <c r="N18" s="93">
        <f t="shared" si="4"/>
        <v>1.1704380323898222</v>
      </c>
      <c r="Q18" s="56"/>
      <c r="R18" s="50"/>
    </row>
    <row r="19" spans="2:18" s="24" customFormat="1" ht="15.75" customHeight="1" x14ac:dyDescent="0.2">
      <c r="B19" s="51">
        <v>45894</v>
      </c>
      <c r="C19" s="52">
        <v>90</v>
      </c>
      <c r="D19" s="52">
        <f>29+31</f>
        <v>60</v>
      </c>
      <c r="E19" s="52"/>
      <c r="F19" s="52">
        <v>93</v>
      </c>
      <c r="G19" s="53">
        <f t="shared" si="0"/>
        <v>243</v>
      </c>
      <c r="H19" s="54">
        <f t="shared" si="1"/>
        <v>1263.5999999999999</v>
      </c>
      <c r="I19" s="55">
        <f t="shared" si="2"/>
        <v>18599.400000000001</v>
      </c>
      <c r="J19" s="23">
        <f>33716.63+3047.2</f>
        <v>36763.829999999994</v>
      </c>
      <c r="K19" s="23">
        <f>20419.81+3047.2</f>
        <v>23467.010000000002</v>
      </c>
      <c r="L19" s="53">
        <v>86</v>
      </c>
      <c r="M19" s="55">
        <f t="shared" si="3"/>
        <v>-3604.010000000002</v>
      </c>
      <c r="N19" s="93">
        <f t="shared" si="4"/>
        <v>1.1814433872023362</v>
      </c>
      <c r="Q19" s="56"/>
      <c r="R19" s="50"/>
    </row>
    <row r="20" spans="2:18" s="24" customFormat="1" ht="15.75" customHeight="1" x14ac:dyDescent="0.2">
      <c r="B20" s="51">
        <v>45925</v>
      </c>
      <c r="C20" s="52"/>
      <c r="D20" s="52"/>
      <c r="E20" s="52"/>
      <c r="F20" s="52"/>
      <c r="G20" s="53">
        <f t="shared" si="0"/>
        <v>0</v>
      </c>
      <c r="H20" s="54">
        <f t="shared" si="1"/>
        <v>0</v>
      </c>
      <c r="I20" s="55">
        <f t="shared" si="2"/>
        <v>0</v>
      </c>
      <c r="J20" s="23"/>
      <c r="K20" s="23"/>
      <c r="L20" s="53"/>
      <c r="M20" s="55">
        <f t="shared" si="3"/>
        <v>0</v>
      </c>
      <c r="N20" s="102" t="e">
        <f t="shared" si="4"/>
        <v>#DIV/0!</v>
      </c>
      <c r="Q20" s="56"/>
      <c r="R20" s="50"/>
    </row>
    <row r="21" spans="2:18" s="24" customFormat="1" ht="15.75" customHeight="1" x14ac:dyDescent="0.2">
      <c r="B21" s="51">
        <v>45955</v>
      </c>
      <c r="C21" s="52"/>
      <c r="D21" s="52"/>
      <c r="E21" s="52"/>
      <c r="F21" s="52"/>
      <c r="G21" s="53">
        <f t="shared" si="0"/>
        <v>0</v>
      </c>
      <c r="H21" s="54">
        <f t="shared" si="1"/>
        <v>0</v>
      </c>
      <c r="I21" s="55">
        <f t="shared" si="2"/>
        <v>0</v>
      </c>
      <c r="J21" s="23"/>
      <c r="K21" s="23"/>
      <c r="L21" s="53"/>
      <c r="M21" s="55">
        <f t="shared" si="3"/>
        <v>0</v>
      </c>
      <c r="N21" s="102" t="e">
        <f t="shared" si="4"/>
        <v>#DIV/0!</v>
      </c>
      <c r="Q21" s="56"/>
      <c r="R21" s="50"/>
    </row>
    <row r="22" spans="2:18" s="24" customFormat="1" ht="15.75" customHeight="1" x14ac:dyDescent="0.2">
      <c r="B22" s="51">
        <v>45986</v>
      </c>
      <c r="C22" s="52"/>
      <c r="D22" s="52"/>
      <c r="E22" s="52"/>
      <c r="F22" s="52"/>
      <c r="G22" s="53">
        <f t="shared" si="0"/>
        <v>0</v>
      </c>
      <c r="H22" s="54">
        <f t="shared" si="1"/>
        <v>0</v>
      </c>
      <c r="I22" s="55">
        <f t="shared" si="2"/>
        <v>0</v>
      </c>
      <c r="J22" s="23"/>
      <c r="K22" s="23"/>
      <c r="L22" s="53"/>
      <c r="M22" s="55">
        <f t="shared" si="3"/>
        <v>0</v>
      </c>
      <c r="N22" s="102" t="e">
        <f t="shared" si="4"/>
        <v>#DIV/0!</v>
      </c>
      <c r="Q22" s="56"/>
      <c r="R22" s="50"/>
    </row>
    <row r="23" spans="2:18" s="24" customFormat="1" ht="15.75" customHeight="1" x14ac:dyDescent="0.2">
      <c r="B23" s="51">
        <v>46016</v>
      </c>
      <c r="C23" s="52"/>
      <c r="D23" s="52"/>
      <c r="E23" s="52"/>
      <c r="F23" s="52"/>
      <c r="G23" s="53">
        <f t="shared" si="0"/>
        <v>0</v>
      </c>
      <c r="H23" s="54">
        <f t="shared" si="1"/>
        <v>0</v>
      </c>
      <c r="I23" s="55">
        <f t="shared" si="2"/>
        <v>0</v>
      </c>
      <c r="J23" s="23"/>
      <c r="K23" s="23"/>
      <c r="L23" s="53"/>
      <c r="M23" s="55">
        <f t="shared" si="3"/>
        <v>0</v>
      </c>
      <c r="N23" s="102" t="e">
        <f t="shared" si="4"/>
        <v>#DIV/0!</v>
      </c>
      <c r="Q23" s="56"/>
      <c r="R23" s="50"/>
    </row>
    <row r="24" spans="2:18" s="24" customFormat="1" ht="15.75" customHeight="1" thickBot="1" x14ac:dyDescent="0.25">
      <c r="B24" s="57"/>
      <c r="C24" s="58"/>
      <c r="D24" s="58"/>
      <c r="E24" s="58"/>
      <c r="F24" s="58"/>
      <c r="G24" s="59"/>
      <c r="H24" s="60"/>
      <c r="I24" s="61"/>
      <c r="J24" s="62"/>
      <c r="K24" s="63"/>
      <c r="L24" s="64"/>
      <c r="M24" s="65"/>
      <c r="N24" s="66"/>
    </row>
    <row r="25" spans="2:18" s="73" customFormat="1" ht="15.75" customHeight="1" thickBot="1" x14ac:dyDescent="0.3">
      <c r="B25" s="67" t="s">
        <v>23</v>
      </c>
      <c r="C25" s="68">
        <f>AVERAGEIF(C12:C23,"&gt;0")</f>
        <v>90.625</v>
      </c>
      <c r="D25" s="68">
        <f>AVERAGEIF(D12:D23,"&gt;0")</f>
        <v>57.875</v>
      </c>
      <c r="E25" s="68"/>
      <c r="F25" s="68">
        <f>AVERAGEIF(F12:F23,"&gt;0")</f>
        <v>94.875</v>
      </c>
      <c r="G25" s="68">
        <f>AVERAGEIF(G12:G23,"&gt;0")</f>
        <v>243.375</v>
      </c>
      <c r="H25" s="69">
        <f>SUM(H11:H23)</f>
        <v>10124.400000000001</v>
      </c>
      <c r="I25" s="69">
        <f>SUM(I11:I23)</f>
        <v>149478.01999999999</v>
      </c>
      <c r="J25" s="70">
        <f>SUM(J11:J23)</f>
        <v>270360.74999999994</v>
      </c>
      <c r="K25" s="71">
        <f>SUM(K11:K23)</f>
        <v>176213.62000000002</v>
      </c>
      <c r="L25" s="72">
        <f>SUM(L12:L23)</f>
        <v>576</v>
      </c>
      <c r="M25" s="69">
        <f>SUM(M12:M23)</f>
        <v>-16611.200000000004</v>
      </c>
      <c r="N25" s="92">
        <f>IF((H25+I25)&gt;0,K25/(H25+I25),"")</f>
        <v>1.1040786223667538</v>
      </c>
    </row>
    <row r="26" spans="2:18" s="24" customFormat="1" ht="15.75" customHeight="1" x14ac:dyDescent="0.2">
      <c r="J26" s="74"/>
      <c r="L26" s="75"/>
    </row>
    <row r="27" spans="2:18" s="24" customFormat="1" ht="15.75" customHeight="1" x14ac:dyDescent="0.25">
      <c r="B27" s="123" t="s">
        <v>24</v>
      </c>
      <c r="C27" s="124"/>
      <c r="D27" s="124"/>
      <c r="E27" s="124"/>
      <c r="F27" s="124"/>
      <c r="G27" s="125"/>
      <c r="H27" s="76"/>
      <c r="J27" s="126" t="s">
        <v>25</v>
      </c>
      <c r="K27" s="127"/>
      <c r="L27" s="127"/>
      <c r="M27" s="127"/>
      <c r="N27" s="128"/>
    </row>
    <row r="28" spans="2:18" s="24" customFormat="1" ht="15.75" customHeight="1" x14ac:dyDescent="0.2">
      <c r="B28" s="77"/>
      <c r="C28" s="127" t="s">
        <v>26</v>
      </c>
      <c r="D28" s="128"/>
      <c r="E28" s="129" t="s">
        <v>27</v>
      </c>
      <c r="F28" s="128"/>
      <c r="G28" s="78" t="s">
        <v>15</v>
      </c>
      <c r="H28" s="74"/>
      <c r="J28" s="115" t="s">
        <v>28</v>
      </c>
      <c r="K28" s="116"/>
      <c r="L28" s="116"/>
      <c r="M28" s="117"/>
      <c r="N28" s="79">
        <f>J25/L25</f>
        <v>469.37630208333326</v>
      </c>
    </row>
    <row r="29" spans="2:18" s="24" customFormat="1" ht="15.75" customHeight="1" x14ac:dyDescent="0.2">
      <c r="B29" s="80" t="s">
        <v>29</v>
      </c>
      <c r="C29" s="112">
        <v>38.31</v>
      </c>
      <c r="D29" s="113"/>
      <c r="E29" s="114">
        <v>5.2</v>
      </c>
      <c r="F29" s="113"/>
      <c r="G29" s="81">
        <f>C29+E29</f>
        <v>43.510000000000005</v>
      </c>
      <c r="H29" s="82"/>
      <c r="J29" s="115" t="s">
        <v>30</v>
      </c>
      <c r="K29" s="116"/>
      <c r="L29" s="116"/>
      <c r="M29" s="117"/>
      <c r="N29" s="79">
        <f>K25/L25</f>
        <v>305.92642361111115</v>
      </c>
    </row>
    <row r="30" spans="2:18" s="24" customFormat="1" ht="15.75" customHeight="1" x14ac:dyDescent="0.2">
      <c r="B30" s="83" t="str">
        <f>IF(D10="E+1","EE &amp; One","EE &amp; Spouse")</f>
        <v>EE &amp; One</v>
      </c>
      <c r="C30" s="112">
        <v>73.19</v>
      </c>
      <c r="D30" s="113"/>
      <c r="E30" s="114">
        <v>5.2</v>
      </c>
      <c r="F30" s="113"/>
      <c r="G30" s="81">
        <f>C30+E30</f>
        <v>78.39</v>
      </c>
      <c r="H30" s="82"/>
      <c r="J30" s="115" t="s">
        <v>31</v>
      </c>
      <c r="K30" s="116"/>
      <c r="L30" s="116"/>
      <c r="M30" s="117"/>
      <c r="N30" s="84">
        <f>((L25/COUNTIF(G12:G23,"&gt;0"))*12)/G25</f>
        <v>3.5500770416024654</v>
      </c>
    </row>
    <row r="31" spans="2:18" s="24" customFormat="1" ht="15.75" customHeight="1" x14ac:dyDescent="0.2">
      <c r="B31" s="80"/>
      <c r="C31" s="112"/>
      <c r="D31" s="113"/>
      <c r="E31" s="114"/>
      <c r="F31" s="113"/>
      <c r="G31" s="81"/>
      <c r="H31" s="82"/>
      <c r="J31" s="115" t="s">
        <v>32</v>
      </c>
      <c r="K31" s="116"/>
      <c r="L31" s="116"/>
      <c r="M31" s="117"/>
      <c r="N31" s="85">
        <f>K25/J25</f>
        <v>0.65177219696276201</v>
      </c>
    </row>
    <row r="32" spans="2:18" s="24" customFormat="1" ht="15.75" customHeight="1" x14ac:dyDescent="0.2">
      <c r="B32" s="80" t="s">
        <v>33</v>
      </c>
      <c r="C32" s="112">
        <v>115.7</v>
      </c>
      <c r="D32" s="113"/>
      <c r="E32" s="114">
        <v>5.2</v>
      </c>
      <c r="F32" s="113"/>
      <c r="G32" s="81">
        <f>C32+E32</f>
        <v>120.9</v>
      </c>
      <c r="H32" s="82"/>
      <c r="J32" s="115" t="s">
        <v>34</v>
      </c>
      <c r="K32" s="116"/>
      <c r="L32" s="116"/>
      <c r="M32" s="117"/>
      <c r="N32" s="79">
        <f>K25/G25/(COUNTIF(G12:G23,"&gt;0"))</f>
        <v>90.505197740113005</v>
      </c>
    </row>
    <row r="33" spans="2:14" s="24" customFormat="1" ht="15.75" customHeight="1" x14ac:dyDescent="0.2">
      <c r="C33" s="82"/>
      <c r="D33" s="82"/>
      <c r="E33" s="82"/>
      <c r="F33" s="86"/>
      <c r="G33" s="82"/>
      <c r="H33" s="82"/>
      <c r="J33" s="87"/>
      <c r="K33" s="87"/>
      <c r="L33" s="87"/>
      <c r="M33" s="87"/>
      <c r="N33" s="88"/>
    </row>
    <row r="34" spans="2:14" s="24" customFormat="1" ht="15.75" customHeight="1" thickBot="1" x14ac:dyDescent="0.25">
      <c r="J34" s="74"/>
      <c r="L34" s="75"/>
    </row>
    <row r="35" spans="2:14" s="24" customFormat="1" ht="15.75" customHeight="1" thickBot="1" x14ac:dyDescent="0.3">
      <c r="B35" s="136" t="s">
        <v>35</v>
      </c>
      <c r="C35" s="136"/>
      <c r="D35" s="136"/>
      <c r="E35" s="136"/>
      <c r="F35" s="136"/>
      <c r="G35" s="136"/>
      <c r="H35" s="76"/>
      <c r="J35" s="137" t="s">
        <v>46</v>
      </c>
      <c r="K35" s="138"/>
      <c r="L35" s="138"/>
      <c r="M35" s="138"/>
      <c r="N35" s="139"/>
    </row>
    <row r="36" spans="2:14" s="24" customFormat="1" ht="15.75" customHeight="1" x14ac:dyDescent="0.2">
      <c r="B36" s="130" t="s">
        <v>57</v>
      </c>
      <c r="C36" s="131"/>
      <c r="D36" s="131"/>
      <c r="E36" s="131"/>
      <c r="F36" s="131"/>
      <c r="G36" s="132"/>
      <c r="H36" s="89"/>
      <c r="J36" s="133" t="s">
        <v>28</v>
      </c>
      <c r="K36" s="134"/>
      <c r="L36" s="134"/>
      <c r="M36" s="135"/>
      <c r="N36" s="98">
        <v>468.47</v>
      </c>
    </row>
    <row r="37" spans="2:14" s="24" customFormat="1" ht="15.75" customHeight="1" x14ac:dyDescent="0.2">
      <c r="B37" s="155" t="s">
        <v>59</v>
      </c>
      <c r="C37" s="156"/>
      <c r="D37" s="156"/>
      <c r="E37" s="156"/>
      <c r="F37" s="156"/>
      <c r="G37" s="157"/>
      <c r="H37" s="89"/>
      <c r="J37" s="133" t="s">
        <v>30</v>
      </c>
      <c r="K37" s="134"/>
      <c r="L37" s="134"/>
      <c r="M37" s="135"/>
      <c r="N37" s="98">
        <v>299.62</v>
      </c>
    </row>
    <row r="38" spans="2:14" s="24" customFormat="1" ht="15.75" customHeight="1" x14ac:dyDescent="0.2">
      <c r="B38" s="155" t="s">
        <v>48</v>
      </c>
      <c r="C38" s="156"/>
      <c r="D38" s="156"/>
      <c r="E38" s="156"/>
      <c r="F38" s="156"/>
      <c r="G38" s="157"/>
      <c r="H38" s="89"/>
      <c r="J38" s="133" t="s">
        <v>31</v>
      </c>
      <c r="K38" s="134"/>
      <c r="L38" s="134"/>
      <c r="M38" s="135"/>
      <c r="N38" s="99">
        <v>3.48</v>
      </c>
    </row>
    <row r="39" spans="2:14" s="24" customFormat="1" ht="15.75" customHeight="1" x14ac:dyDescent="0.2">
      <c r="B39" s="155" t="s">
        <v>58</v>
      </c>
      <c r="C39" s="156"/>
      <c r="D39" s="156"/>
      <c r="E39" s="156"/>
      <c r="F39" s="156"/>
      <c r="G39" s="157"/>
      <c r="H39" s="89"/>
      <c r="J39" s="133" t="s">
        <v>32</v>
      </c>
      <c r="K39" s="134"/>
      <c r="L39" s="134"/>
      <c r="M39" s="135"/>
      <c r="N39" s="100">
        <v>0.63959999999999995</v>
      </c>
    </row>
    <row r="40" spans="2:14" s="24" customFormat="1" ht="15.75" thickBot="1" x14ac:dyDescent="0.25">
      <c r="B40" s="140" t="s">
        <v>37</v>
      </c>
      <c r="C40" s="141"/>
      <c r="D40" s="141"/>
      <c r="E40" s="141"/>
      <c r="F40" s="141"/>
      <c r="G40" s="142"/>
      <c r="H40" s="89"/>
      <c r="J40" s="133" t="s">
        <v>34</v>
      </c>
      <c r="K40" s="134"/>
      <c r="L40" s="134"/>
      <c r="M40" s="135"/>
      <c r="N40" s="98">
        <v>86.89</v>
      </c>
    </row>
    <row r="41" spans="2:14" s="24" customFormat="1" ht="15.75" x14ac:dyDescent="0.25">
      <c r="J41" s="143" t="s">
        <v>47</v>
      </c>
      <c r="K41" s="144"/>
      <c r="L41" s="144"/>
      <c r="M41" s="145"/>
      <c r="N41" s="101">
        <v>-14003.52</v>
      </c>
    </row>
    <row r="42" spans="2:14" s="24" customFormat="1" ht="10.15" customHeight="1" x14ac:dyDescent="0.2">
      <c r="J42" s="74"/>
      <c r="L42" s="75"/>
    </row>
    <row r="43" spans="2:14" s="24" customFormat="1" ht="10.15" customHeight="1" x14ac:dyDescent="0.2">
      <c r="B43" s="146" t="s">
        <v>54</v>
      </c>
      <c r="C43" s="147"/>
      <c r="D43" s="147"/>
      <c r="E43" s="147"/>
      <c r="F43" s="147"/>
      <c r="G43" s="147"/>
      <c r="H43" s="147"/>
      <c r="I43" s="147"/>
      <c r="J43" s="147"/>
      <c r="K43" s="147"/>
      <c r="L43" s="147"/>
      <c r="M43" s="147"/>
      <c r="N43" s="148"/>
    </row>
    <row r="44" spans="2:14" s="24" customFormat="1" ht="10.15" customHeight="1" x14ac:dyDescent="0.2">
      <c r="B44" s="149"/>
      <c r="C44" s="150"/>
      <c r="D44" s="150"/>
      <c r="E44" s="150"/>
      <c r="F44" s="150"/>
      <c r="G44" s="150"/>
      <c r="H44" s="150"/>
      <c r="I44" s="150"/>
      <c r="J44" s="150"/>
      <c r="K44" s="150"/>
      <c r="L44" s="150"/>
      <c r="M44" s="150"/>
      <c r="N44" s="151"/>
    </row>
    <row r="45" spans="2:14" s="24" customFormat="1" ht="10.15" customHeight="1" x14ac:dyDescent="0.2">
      <c r="B45" s="149"/>
      <c r="C45" s="150"/>
      <c r="D45" s="150"/>
      <c r="E45" s="150"/>
      <c r="F45" s="150"/>
      <c r="G45" s="150"/>
      <c r="H45" s="150"/>
      <c r="I45" s="150"/>
      <c r="J45" s="150"/>
      <c r="K45" s="150"/>
      <c r="L45" s="150"/>
      <c r="M45" s="150"/>
      <c r="N45" s="151"/>
    </row>
    <row r="46" spans="2:14" s="24" customFormat="1" ht="10.15" customHeight="1" x14ac:dyDescent="0.2">
      <c r="B46" s="149"/>
      <c r="C46" s="150"/>
      <c r="D46" s="150"/>
      <c r="E46" s="150"/>
      <c r="F46" s="150"/>
      <c r="G46" s="150"/>
      <c r="H46" s="150"/>
      <c r="I46" s="150"/>
      <c r="J46" s="150"/>
      <c r="K46" s="150"/>
      <c r="L46" s="150"/>
      <c r="M46" s="150"/>
      <c r="N46" s="151"/>
    </row>
    <row r="47" spans="2:14" s="24" customFormat="1" ht="10.15" customHeight="1" x14ac:dyDescent="0.2">
      <c r="B47" s="149"/>
      <c r="C47" s="150"/>
      <c r="D47" s="150"/>
      <c r="E47" s="150"/>
      <c r="F47" s="150"/>
      <c r="G47" s="150"/>
      <c r="H47" s="150"/>
      <c r="I47" s="150"/>
      <c r="J47" s="150"/>
      <c r="K47" s="150"/>
      <c r="L47" s="150"/>
      <c r="M47" s="150"/>
      <c r="N47" s="151"/>
    </row>
    <row r="48" spans="2:14" s="24" customFormat="1" ht="10.15" customHeight="1" x14ac:dyDescent="0.2">
      <c r="B48" s="149"/>
      <c r="C48" s="150"/>
      <c r="D48" s="150"/>
      <c r="E48" s="150"/>
      <c r="F48" s="150"/>
      <c r="G48" s="150"/>
      <c r="H48" s="150"/>
      <c r="I48" s="150"/>
      <c r="J48" s="150"/>
      <c r="K48" s="150"/>
      <c r="L48" s="150"/>
      <c r="M48" s="150"/>
      <c r="N48" s="151"/>
    </row>
    <row r="49" spans="2:14" s="24" customFormat="1" ht="10.15" customHeight="1" x14ac:dyDescent="0.2">
      <c r="B49" s="152"/>
      <c r="C49" s="153"/>
      <c r="D49" s="153"/>
      <c r="E49" s="153"/>
      <c r="F49" s="153"/>
      <c r="G49" s="153"/>
      <c r="H49" s="153"/>
      <c r="I49" s="153"/>
      <c r="J49" s="153"/>
      <c r="K49" s="153"/>
      <c r="L49" s="153"/>
      <c r="M49" s="153"/>
      <c r="N49" s="154"/>
    </row>
    <row r="50" spans="2:14" s="24" customFormat="1" ht="10.15" customHeight="1" x14ac:dyDescent="0.2">
      <c r="J50" s="74"/>
      <c r="L50" s="75"/>
    </row>
  </sheetData>
  <mergeCells count="44">
    <mergeCell ref="B39:G39"/>
    <mergeCell ref="B40:G40"/>
    <mergeCell ref="J41:M41"/>
    <mergeCell ref="B43:N49"/>
    <mergeCell ref="J39:M39"/>
    <mergeCell ref="J40:M40"/>
    <mergeCell ref="J35:N35"/>
    <mergeCell ref="J36:M36"/>
    <mergeCell ref="J37:M37"/>
    <mergeCell ref="J38:M38"/>
    <mergeCell ref="B35:G35"/>
    <mergeCell ref="B36:G36"/>
    <mergeCell ref="B37:G37"/>
    <mergeCell ref="B38:G38"/>
    <mergeCell ref="J32:M32"/>
    <mergeCell ref="C29:D29"/>
    <mergeCell ref="E29:F29"/>
    <mergeCell ref="J29:M29"/>
    <mergeCell ref="C30:D30"/>
    <mergeCell ref="E30:F30"/>
    <mergeCell ref="J30:M30"/>
    <mergeCell ref="C31:D31"/>
    <mergeCell ref="E31:F31"/>
    <mergeCell ref="J31:M31"/>
    <mergeCell ref="C32:D32"/>
    <mergeCell ref="E32:F32"/>
    <mergeCell ref="B27:G27"/>
    <mergeCell ref="J27:N27"/>
    <mergeCell ref="C28:D28"/>
    <mergeCell ref="E28:F28"/>
    <mergeCell ref="J28:M28"/>
    <mergeCell ref="B6:C6"/>
    <mergeCell ref="D6:G6"/>
    <mergeCell ref="K6:L6"/>
    <mergeCell ref="M6:N6"/>
    <mergeCell ref="B8:G8"/>
    <mergeCell ref="I8:L8"/>
    <mergeCell ref="M8:N8"/>
    <mergeCell ref="B1:N1"/>
    <mergeCell ref="B2:N2"/>
    <mergeCell ref="B5:C5"/>
    <mergeCell ref="D5:G5"/>
    <mergeCell ref="K5:L5"/>
    <mergeCell ref="M5:N5"/>
  </mergeCells>
  <phoneticPr fontId="0" type="noConversion"/>
  <pageMargins left="0.7" right="0.7" top="0.75" bottom="0.75" header="0.3" footer="0.3"/>
  <pageSetup scale="6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Standard 2026</vt:lpstr>
      <vt:lpstr>Premium 2026</vt:lpstr>
      <vt:lpstr>Standard 2025</vt:lpstr>
      <vt:lpstr>Premium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2026-07-01T14:12:47Z</cp:lastPrinted>
  <dcterms:created xsi:type="dcterms:W3CDTF">2010-01-16T14:52:12Z</dcterms:created>
  <dcterms:modified xsi:type="dcterms:W3CDTF">2026-07-01T14:13:01Z</dcterms:modified>
</cp:coreProperties>
</file>