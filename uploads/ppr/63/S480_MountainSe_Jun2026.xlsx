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02CA33F8-73F5-4A31-BEE0-39C779499560}" xr6:coauthVersionLast="47" xr6:coauthVersionMax="47" xr10:uidLastSave="{00000000-0000-0000-0000-000000000000}"/>
  <bookViews>
    <workbookView xWindow="-105" yWindow="0" windowWidth="26010" windowHeight="20985" xr2:uid="{00000000-000D-0000-FFFF-FFFF00000000}"/>
  </bookViews>
  <sheets>
    <sheet name="Summary" sheetId="4" r:id="rId1"/>
    <sheet name="GOLD" sheetId="1" r:id="rId2"/>
    <sheet name="Platinum" sheetId="6" r:id="rId3"/>
    <sheet name="SILVER" sheetId="2" r:id="rId4"/>
    <sheet name="Dental Acct"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9" i="1" l="1"/>
  <c r="N19" i="6"/>
  <c r="N19" i="2"/>
  <c r="N19" i="4"/>
  <c r="L19" i="4"/>
  <c r="L18" i="4"/>
  <c r="J19" i="4"/>
  <c r="K19" i="4"/>
  <c r="N18" i="2"/>
  <c r="N18" i="1"/>
  <c r="M13" i="2"/>
  <c r="M14" i="2"/>
  <c r="M15" i="2"/>
  <c r="M16" i="2"/>
  <c r="M17" i="2"/>
  <c r="M20" i="2"/>
  <c r="M21" i="2"/>
  <c r="M22" i="2"/>
  <c r="M23" i="2"/>
  <c r="M12" i="2"/>
  <c r="N13" i="2"/>
  <c r="N14" i="2"/>
  <c r="N15" i="2"/>
  <c r="N16" i="2"/>
  <c r="N17" i="2"/>
  <c r="N12" i="2"/>
  <c r="M13" i="6"/>
  <c r="M14" i="6"/>
  <c r="M15" i="6"/>
  <c r="M16" i="6"/>
  <c r="M17" i="6"/>
  <c r="M20" i="6"/>
  <c r="M21" i="6"/>
  <c r="M22" i="6"/>
  <c r="M23" i="6"/>
  <c r="M12" i="6"/>
  <c r="N13" i="6"/>
  <c r="N14" i="6"/>
  <c r="N15" i="6"/>
  <c r="N16" i="6"/>
  <c r="N17" i="6"/>
  <c r="N12" i="6"/>
  <c r="N13" i="1"/>
  <c r="N14" i="1"/>
  <c r="N15" i="1"/>
  <c r="N16" i="1"/>
  <c r="N17" i="1"/>
  <c r="N12" i="1"/>
  <c r="M13" i="1"/>
  <c r="M14" i="1"/>
  <c r="M15" i="1"/>
  <c r="M16" i="1"/>
  <c r="M17" i="1"/>
  <c r="M20" i="1"/>
  <c r="M21" i="1"/>
  <c r="M22" i="1"/>
  <c r="M23" i="1"/>
  <c r="M12" i="1"/>
  <c r="N13" i="4"/>
  <c r="N14" i="4"/>
  <c r="N15" i="4"/>
  <c r="N16" i="4"/>
  <c r="N17" i="4"/>
  <c r="N12" i="4"/>
  <c r="J17" i="4"/>
  <c r="K17" i="4"/>
  <c r="L17" i="4"/>
  <c r="J18" i="4"/>
  <c r="K18" i="4"/>
  <c r="H13" i="5"/>
  <c r="H14" i="5"/>
  <c r="H15" i="5"/>
  <c r="H12" i="5"/>
  <c r="H11" i="5"/>
  <c r="G15" i="5"/>
  <c r="F15" i="5"/>
  <c r="E15" i="5"/>
  <c r="L16" i="4"/>
  <c r="K16" i="4"/>
  <c r="J16" i="4"/>
  <c r="F16" i="6"/>
  <c r="F31" i="2"/>
  <c r="F32" i="2"/>
  <c r="F31" i="6"/>
  <c r="F32" i="6"/>
  <c r="E14" i="5"/>
  <c r="L15" i="4"/>
  <c r="K15" i="4"/>
  <c r="J15" i="4"/>
  <c r="F15" i="6"/>
  <c r="F15" i="4" s="1"/>
  <c r="E13" i="5"/>
  <c r="K14" i="4"/>
  <c r="L14" i="4"/>
  <c r="J14" i="4"/>
  <c r="F14" i="6"/>
  <c r="F14" i="4"/>
  <c r="E11" i="5"/>
  <c r="E12" i="5"/>
  <c r="J13" i="4"/>
  <c r="K13" i="4"/>
  <c r="L13" i="4"/>
  <c r="C13" i="4"/>
  <c r="D13" i="4"/>
  <c r="E13" i="4"/>
  <c r="F13" i="4"/>
  <c r="C14" i="4"/>
  <c r="D14" i="4"/>
  <c r="E14" i="4"/>
  <c r="C15" i="4"/>
  <c r="D15" i="4"/>
  <c r="E15" i="4"/>
  <c r="C16" i="4"/>
  <c r="D16" i="4"/>
  <c r="E16" i="4"/>
  <c r="F16" i="4"/>
  <c r="C17" i="4"/>
  <c r="D17" i="4"/>
  <c r="E17" i="4"/>
  <c r="F17" i="4"/>
  <c r="C18" i="4"/>
  <c r="D18" i="4"/>
  <c r="E18" i="4"/>
  <c r="F18" i="4"/>
  <c r="C19" i="4"/>
  <c r="D19" i="4"/>
  <c r="E19" i="4"/>
  <c r="F19" i="4"/>
  <c r="C20" i="4"/>
  <c r="D20" i="4"/>
  <c r="E20" i="4"/>
  <c r="F20" i="4"/>
  <c r="C21" i="4"/>
  <c r="D21" i="4"/>
  <c r="E21" i="4"/>
  <c r="F21" i="4"/>
  <c r="H3" i="1"/>
  <c r="J25" i="6" l="1"/>
  <c r="F22" i="4"/>
  <c r="F23" i="4"/>
  <c r="E22" i="4"/>
  <c r="E23" i="4"/>
  <c r="D22" i="4"/>
  <c r="D23" i="4"/>
  <c r="C22" i="4"/>
  <c r="C23" i="4"/>
  <c r="L12" i="4"/>
  <c r="K12" i="4"/>
  <c r="J12" i="4"/>
  <c r="F12" i="4"/>
  <c r="E12" i="4"/>
  <c r="D12" i="4"/>
  <c r="C12" i="4"/>
  <c r="G13" i="1"/>
  <c r="G14" i="1"/>
  <c r="G15" i="1"/>
  <c r="G16" i="1"/>
  <c r="G17" i="1"/>
  <c r="G18" i="1"/>
  <c r="G19" i="1"/>
  <c r="G32" i="6"/>
  <c r="D32" i="6"/>
  <c r="G31" i="6"/>
  <c r="D31" i="6"/>
  <c r="G30" i="6"/>
  <c r="F30" i="6"/>
  <c r="D30" i="6"/>
  <c r="B30" i="6"/>
  <c r="G29" i="6"/>
  <c r="F29" i="6"/>
  <c r="D29" i="6"/>
  <c r="L25" i="6"/>
  <c r="K25" i="6"/>
  <c r="F25" i="6"/>
  <c r="E25" i="6"/>
  <c r="D25" i="6"/>
  <c r="C25" i="6"/>
  <c r="I23" i="6"/>
  <c r="H23" i="6"/>
  <c r="G23" i="6"/>
  <c r="G23" i="4" s="1"/>
  <c r="B23" i="6"/>
  <c r="I22" i="6"/>
  <c r="I22" i="4" s="1"/>
  <c r="H22" i="6"/>
  <c r="G22" i="6"/>
  <c r="G22" i="4" s="1"/>
  <c r="B22" i="6"/>
  <c r="I21" i="6"/>
  <c r="H21" i="6"/>
  <c r="G21" i="6"/>
  <c r="B21" i="6"/>
  <c r="I20" i="6"/>
  <c r="H20" i="6"/>
  <c r="G20" i="6"/>
  <c r="B20" i="6"/>
  <c r="I19" i="6"/>
  <c r="M19" i="6" s="1"/>
  <c r="H19" i="6"/>
  <c r="G19" i="6"/>
  <c r="B19" i="6"/>
  <c r="I18" i="6"/>
  <c r="H18" i="6"/>
  <c r="G18" i="6"/>
  <c r="B18" i="6"/>
  <c r="I17" i="6"/>
  <c r="H17" i="6"/>
  <c r="G17" i="6"/>
  <c r="B17" i="6"/>
  <c r="I16" i="6"/>
  <c r="H16" i="6"/>
  <c r="G16" i="6"/>
  <c r="B16" i="6"/>
  <c r="I15" i="6"/>
  <c r="H15" i="6"/>
  <c r="G15" i="6"/>
  <c r="B15" i="6"/>
  <c r="I14" i="6"/>
  <c r="H14" i="6"/>
  <c r="G14" i="6"/>
  <c r="B14" i="6"/>
  <c r="I13" i="6"/>
  <c r="H13" i="6"/>
  <c r="G13" i="6"/>
  <c r="B13" i="6"/>
  <c r="I12" i="6"/>
  <c r="H12" i="6"/>
  <c r="G12" i="6"/>
  <c r="B12" i="6"/>
  <c r="D5" i="6"/>
  <c r="J3" i="6"/>
  <c r="H3" i="6"/>
  <c r="B2" i="6"/>
  <c r="B1" i="6"/>
  <c r="B30" i="1"/>
  <c r="M18" i="6" l="1"/>
  <c r="N18" i="6"/>
  <c r="H24" i="5"/>
  <c r="G25" i="6"/>
  <c r="N32" i="6" s="1"/>
  <c r="N28" i="6"/>
  <c r="H25" i="6"/>
  <c r="I25" i="6"/>
  <c r="N25" i="6" s="1"/>
  <c r="N29" i="6"/>
  <c r="N31" i="6"/>
  <c r="J3" i="1"/>
  <c r="J3" i="2"/>
  <c r="H3" i="2"/>
  <c r="H4" i="5"/>
  <c r="E4" i="5"/>
  <c r="D5" i="1"/>
  <c r="D5" i="2"/>
  <c r="J6" i="5"/>
  <c r="D6" i="5"/>
  <c r="B13" i="2"/>
  <c r="B14" i="2"/>
  <c r="B15" i="2"/>
  <c r="B16" i="2"/>
  <c r="B17" i="2"/>
  <c r="B18" i="2"/>
  <c r="B19" i="2"/>
  <c r="B20" i="2"/>
  <c r="B21" i="2"/>
  <c r="B22" i="2"/>
  <c r="B23" i="2"/>
  <c r="B12" i="2"/>
  <c r="C12" i="5"/>
  <c r="C13" i="5"/>
  <c r="C14" i="5"/>
  <c r="C15" i="5"/>
  <c r="C16" i="5"/>
  <c r="C17" i="5"/>
  <c r="C18" i="5"/>
  <c r="C19" i="5"/>
  <c r="C20" i="5"/>
  <c r="C21" i="5"/>
  <c r="C22" i="5"/>
  <c r="C11" i="5"/>
  <c r="N30" i="6" l="1"/>
  <c r="M25" i="6"/>
  <c r="E25" i="2"/>
  <c r="C1" i="5"/>
  <c r="E25" i="1"/>
  <c r="D24" i="5"/>
  <c r="B2" i="2"/>
  <c r="B2" i="1"/>
  <c r="B1" i="2"/>
  <c r="G12" i="2"/>
  <c r="H12" i="2"/>
  <c r="I12" i="2"/>
  <c r="G13" i="2"/>
  <c r="G13" i="4" s="1"/>
  <c r="H13" i="2"/>
  <c r="I13" i="2"/>
  <c r="G14" i="2"/>
  <c r="G14" i="4" s="1"/>
  <c r="H14" i="2"/>
  <c r="I14" i="2"/>
  <c r="G15" i="2"/>
  <c r="G15" i="4" s="1"/>
  <c r="H15" i="2"/>
  <c r="I15" i="2"/>
  <c r="G16" i="2"/>
  <c r="G16" i="4" s="1"/>
  <c r="H16" i="2"/>
  <c r="I16" i="2"/>
  <c r="G17" i="2"/>
  <c r="G17" i="4" s="1"/>
  <c r="H17" i="2"/>
  <c r="I17" i="2"/>
  <c r="G18" i="2"/>
  <c r="G18" i="4" s="1"/>
  <c r="H18" i="2"/>
  <c r="I18" i="2"/>
  <c r="M18" i="2" s="1"/>
  <c r="G19" i="2"/>
  <c r="G19" i="4" s="1"/>
  <c r="H19" i="2"/>
  <c r="I19" i="2"/>
  <c r="M19" i="2" s="1"/>
  <c r="G20" i="2"/>
  <c r="H20" i="2"/>
  <c r="I20" i="2"/>
  <c r="G21" i="2"/>
  <c r="H21" i="2"/>
  <c r="I21" i="2"/>
  <c r="G22" i="2"/>
  <c r="H22" i="2"/>
  <c r="I22" i="2"/>
  <c r="G23" i="2"/>
  <c r="H23" i="2"/>
  <c r="I23" i="2"/>
  <c r="C25" i="2"/>
  <c r="D25" i="2"/>
  <c r="F25" i="2"/>
  <c r="J25" i="2"/>
  <c r="K25" i="2"/>
  <c r="L25" i="2"/>
  <c r="D29" i="2"/>
  <c r="F29" i="2"/>
  <c r="G29" i="2"/>
  <c r="B30" i="2"/>
  <c r="D30" i="2"/>
  <c r="F30" i="2"/>
  <c r="G30" i="2"/>
  <c r="D31" i="2"/>
  <c r="G31" i="2"/>
  <c r="D32" i="2"/>
  <c r="G32" i="2"/>
  <c r="B1" i="1"/>
  <c r="G12" i="1"/>
  <c r="H12" i="1"/>
  <c r="I12" i="1"/>
  <c r="H13" i="1"/>
  <c r="I13" i="1"/>
  <c r="I13" i="4" s="1"/>
  <c r="H14" i="1"/>
  <c r="I14" i="1"/>
  <c r="H15" i="1"/>
  <c r="I15" i="1"/>
  <c r="H16" i="1"/>
  <c r="I16" i="1"/>
  <c r="H17" i="1"/>
  <c r="I17" i="1"/>
  <c r="H18" i="1"/>
  <c r="I18" i="1"/>
  <c r="H19" i="1"/>
  <c r="I19" i="1"/>
  <c r="M19" i="1" s="1"/>
  <c r="G20" i="1"/>
  <c r="G20" i="4" s="1"/>
  <c r="H20" i="1"/>
  <c r="I20" i="1"/>
  <c r="G21" i="1"/>
  <c r="H21" i="1"/>
  <c r="I21" i="1"/>
  <c r="I21" i="4" s="1"/>
  <c r="G22" i="1"/>
  <c r="H22" i="1"/>
  <c r="H22" i="4" s="1"/>
  <c r="I22" i="1"/>
  <c r="G23" i="1"/>
  <c r="H23" i="1"/>
  <c r="I23" i="1"/>
  <c r="C25" i="1"/>
  <c r="D25" i="1"/>
  <c r="F25" i="1"/>
  <c r="J25" i="1"/>
  <c r="K25" i="1"/>
  <c r="L25" i="1"/>
  <c r="G29" i="1"/>
  <c r="G30" i="1"/>
  <c r="G31" i="1"/>
  <c r="G32" i="1"/>
  <c r="D25" i="4"/>
  <c r="N31" i="2" l="1"/>
  <c r="N29" i="2"/>
  <c r="N28" i="2"/>
  <c r="I18" i="4"/>
  <c r="N18" i="4" s="1"/>
  <c r="M18" i="1"/>
  <c r="H23" i="4"/>
  <c r="H19" i="4"/>
  <c r="H18" i="4"/>
  <c r="I15" i="4"/>
  <c r="I14" i="4"/>
  <c r="H12" i="4"/>
  <c r="F11" i="5" s="1"/>
  <c r="I12" i="4"/>
  <c r="G12" i="4"/>
  <c r="H16" i="4"/>
  <c r="G21" i="4"/>
  <c r="H21" i="4"/>
  <c r="I20" i="4"/>
  <c r="H20" i="4"/>
  <c r="I19" i="4"/>
  <c r="I17" i="4"/>
  <c r="H17" i="4"/>
  <c r="I16" i="4"/>
  <c r="H15" i="4"/>
  <c r="F14" i="5" s="1"/>
  <c r="G14" i="5" s="1"/>
  <c r="H14" i="4"/>
  <c r="F13" i="5" s="1"/>
  <c r="G13" i="5" s="1"/>
  <c r="H13" i="4"/>
  <c r="F12" i="5" s="1"/>
  <c r="G12" i="5" s="1"/>
  <c r="L25" i="4"/>
  <c r="G25" i="1"/>
  <c r="N30" i="1" s="1"/>
  <c r="K25" i="4"/>
  <c r="N29" i="1"/>
  <c r="J25" i="4"/>
  <c r="C25" i="4"/>
  <c r="N31" i="1"/>
  <c r="F25" i="4"/>
  <c r="E25" i="4"/>
  <c r="N28" i="1"/>
  <c r="H25" i="1"/>
  <c r="M22" i="4"/>
  <c r="H21" i="5"/>
  <c r="H25" i="2"/>
  <c r="H22" i="5"/>
  <c r="I25" i="1"/>
  <c r="N25" i="1" s="1"/>
  <c r="I25" i="2"/>
  <c r="N25" i="2" s="1"/>
  <c r="G25" i="2"/>
  <c r="I23" i="4"/>
  <c r="N30" i="2" l="1"/>
  <c r="N32" i="2"/>
  <c r="M23" i="4"/>
  <c r="M16" i="4"/>
  <c r="G11" i="5"/>
  <c r="F24" i="5"/>
  <c r="M14" i="4"/>
  <c r="G25" i="4"/>
  <c r="N30" i="4" s="1"/>
  <c r="M12" i="4"/>
  <c r="M17" i="4"/>
  <c r="M21" i="4"/>
  <c r="M20" i="4"/>
  <c r="M19" i="4"/>
  <c r="M18" i="4"/>
  <c r="M15" i="4"/>
  <c r="M13" i="4"/>
  <c r="M25" i="2"/>
  <c r="N28" i="4"/>
  <c r="N32" i="1"/>
  <c r="N29" i="4"/>
  <c r="N31" i="4"/>
  <c r="H25" i="4"/>
  <c r="M25" i="1"/>
  <c r="I25" i="4"/>
  <c r="N25" i="4" s="1"/>
  <c r="E24" i="5"/>
  <c r="G24" i="5" l="1"/>
  <c r="N32" i="4"/>
  <c r="M2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Theresa Walden</author>
  </authors>
  <commentList>
    <comment ref="J40" authorId="0" shapeId="0" xr:uid="{00000000-0006-0000-0000-000001000000}">
      <text>
        <r>
          <rPr>
            <b/>
            <sz val="9"/>
            <color indexed="81"/>
            <rFont val="Tahoma"/>
            <family val="2"/>
          </rPr>
          <t>Theresa Walden:</t>
        </r>
        <r>
          <rPr>
            <sz val="9"/>
            <color indexed="81"/>
            <rFont val="Tahoma"/>
            <family val="2"/>
          </rPr>
          <t xml:space="preserve">
Total Paid/average ee /12 months
</t>
        </r>
      </text>
    </comment>
    <comment ref="J41" authorId="0" shapeId="0" xr:uid="{00000000-0006-0000-0000-000002000000}">
      <text>
        <r>
          <rPr>
            <b/>
            <sz val="9"/>
            <color indexed="81"/>
            <rFont val="Tahoma"/>
            <family val="2"/>
          </rPr>
          <t>Theresa Walden:</t>
        </r>
        <r>
          <rPr>
            <sz val="9"/>
            <color indexed="81"/>
            <rFont val="Tahoma"/>
            <family val="2"/>
          </rPr>
          <t xml:space="preserve">
=budgeted-paid from last year, not the sum
</t>
        </r>
      </text>
    </comment>
  </commentList>
</comments>
</file>

<file path=xl/sharedStrings.xml><?xml version="1.0" encoding="utf-8"?>
<sst xmlns="http://schemas.openxmlformats.org/spreadsheetml/2006/main" count="234" uniqueCount="81">
  <si>
    <t>Plan Year:</t>
  </si>
  <si>
    <t>through</t>
  </si>
  <si>
    <t>Group ID:</t>
  </si>
  <si>
    <t>Plan Name:</t>
  </si>
  <si>
    <t>Coverage:</t>
  </si>
  <si>
    <t>Plan ID:</t>
  </si>
  <si>
    <t>ENROLLMENT</t>
  </si>
  <si>
    <t>ADMIN</t>
  </si>
  <si>
    <t>CLAIMS</t>
  </si>
  <si>
    <t>PROFIT OR LOSS</t>
  </si>
  <si>
    <t>Surplus/</t>
  </si>
  <si>
    <t>Loss</t>
  </si>
  <si>
    <t>Mon, Yr</t>
  </si>
  <si>
    <t>EE</t>
  </si>
  <si>
    <t>EC</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</si>
  <si>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</si>
  <si>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</si>
  <si>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</si>
  <si>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</si>
  <si>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</si>
  <si>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</si>
  <si>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</si>
  <si>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</si>
  <si>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</si>
  <si>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</si>
  <si>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</si>
  <si>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</si>
  <si>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</si>
  <si>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</si>
  <si>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</si>
  <si>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</si>
  <si>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</si>
  <si>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</si>
  <si>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 xml:space="preserve">EE &amp; Children </t>
  </si>
  <si>
    <t>Average Reimbursement % of Submitted Charges</t>
  </si>
  <si>
    <t xml:space="preserve">EE &amp; Family </t>
  </si>
  <si>
    <t>Average Claim Paid per Employee per Month</t>
  </si>
  <si>
    <t>Plan Design</t>
  </si>
  <si>
    <t>ES</t>
  </si>
  <si>
    <t>Assignment of Benefits</t>
  </si>
  <si>
    <t>Summary</t>
  </si>
  <si>
    <t>Prior Year Data</t>
  </si>
  <si>
    <t>Surplus (Deficit)</t>
  </si>
  <si>
    <r>
      <rPr>
        <u/>
        <sz val="11"/>
        <rFont val="Arial"/>
        <family val="2"/>
      </rPr>
      <t>Important Note</t>
    </r>
    <r>
      <rPr>
        <sz val="11"/>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</si>
  <si>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Monthly Performance Report - Budgeted vs Actual Claims Paid</t>
  </si>
  <si>
    <t xml:space="preserve">Plan Year: </t>
  </si>
  <si>
    <t>Month</t>
  </si>
  <si>
    <t>Deposit</t>
  </si>
  <si>
    <t xml:space="preserve">Plan Expenses </t>
  </si>
  <si>
    <t>Account Balance</t>
  </si>
  <si>
    <t>Admin</t>
  </si>
  <si>
    <t>Prior Plan Year Ending  Balance</t>
  </si>
  <si>
    <r>
      <rPr>
        <b/>
        <sz val="11"/>
        <rFont val="Arial"/>
        <family val="2"/>
      </rPr>
      <t>Note:</t>
    </r>
    <r>
      <rPr>
        <sz val="11"/>
        <rFont val="Arial"/>
        <family val="2"/>
      </rPr>
      <t xml:space="preserve"> The above figures do not include claim adjustments.</t>
    </r>
  </si>
  <si>
    <t>* Pending claims include claims processed and not yet released for reimbursement due to low account balance.</t>
  </si>
  <si>
    <t>*Claims may also be pending if funding was received and posted after the final check run for the month.</t>
  </si>
  <si>
    <t>Premium</t>
  </si>
  <si>
    <t>Dental  Plan Year Accounting</t>
  </si>
  <si>
    <t>Dental</t>
  </si>
  <si>
    <t>Mountainseed Appraisal Management, LLC.</t>
  </si>
  <si>
    <t>S480</t>
  </si>
  <si>
    <t>Gold Plan</t>
  </si>
  <si>
    <t>S480DEN GOLD</t>
  </si>
  <si>
    <t>60% OF THE REMAINING BALANCE OF MAXIMUM</t>
  </si>
  <si>
    <t xml:space="preserve">Ortho is covered for Adults &amp; Children in plan above with a </t>
  </si>
  <si>
    <t>Lifetime maximum of $1,500</t>
  </si>
  <si>
    <t>Plan Year Maximum $2,000</t>
  </si>
  <si>
    <t>50% of the remaining maximum</t>
  </si>
  <si>
    <t>Ortho IS NOT covered for Adults and Children</t>
  </si>
  <si>
    <t>Annual Maximum Amount $1,000</t>
  </si>
  <si>
    <t>S480DEN SILVER</t>
  </si>
  <si>
    <t>S480DEN PLATINUM</t>
  </si>
  <si>
    <t>100% of the first $600</t>
  </si>
  <si>
    <t>60% of the remaining maximum</t>
  </si>
  <si>
    <t>Ortho is covered for Adults and Children</t>
  </si>
  <si>
    <t>Annual Maximum Amount $3,000</t>
  </si>
  <si>
    <t>N/A</t>
  </si>
  <si>
    <t>*Notes</t>
  </si>
  <si>
    <t>Refund of balance in Account</t>
  </si>
  <si>
    <t>S480DEN</t>
  </si>
  <si>
    <t>100% OF THE FIRST $400</t>
  </si>
  <si>
    <t>100% of the first $300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</si>
</sst>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 numFmtId="168" formatCode="mm/dd/yy;@"/>
  </numFmts>
  <fonts count="24"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b/>
      <sz val="11"/>
      <name val="Arial"/>
      <family val="2"/>
    </font>
    <font>
      <u/>
      <sz val="11"/>
      <name val="Arial"/>
      <family val="2"/>
    </font>
    <font>
      <sz val="11"/>
      <color indexed="8"/>
      <name val="Calibri"/>
      <family val="2"/>
    </font>
    <font>
      <b/>
      <sz val="10"/>
      <name val="Arial"/>
      <family val="2"/>
    </font>
    <font>
      <b/>
      <sz val="11"/>
      <color rgb="FF00B050"/>
      <name val="Arial"/>
      <family val="2"/>
    </font>
    <font>
      <sz val="11"/>
      <color rgb="FF00B050"/>
      <name val="Arial"/>
      <family val="2"/>
    </font>
    <font>
      <sz val="9"/>
      <color indexed="81"/>
      <name val="Tahoma"/>
      <family val="2"/>
    </font>
    <font>
      <b/>
      <sz val="9"/>
      <color indexed="81"/>
      <name val="Tahoma"/>
      <family val="2"/>
    </font>
    <font>
      <b/>
      <sz val="11"/>
      <color rgb="FFFF0000"/>
      <name val="Arial"/>
      <family val="2"/>
    </font>
    <font>
      <sz val="11"/>
      <color rgb="FFFF0000"/>
      <name val="Arial"/>
      <family val="2"/>
    </font>
    <font>
      <sz val="11"/>
      <color theme="0"/>
      <name val="Arial"/>
      <family val="2"/>
    </font>
    <font>
      <b/>
      <sz val="11"/>
      <color theme="0"/>
      <name val="Arial"/>
      <family val="2"/>
    </font>
    <font>
      <sz val="11"/>
      <color theme="1"/>
      <name val="Arial"/>
      <family val="2"/>
    </font>
    <font>
      <b/>
      <sz val="11"/>
      <color theme="1"/>
      <name val="Aptos"/>
      <family val="2"/>
    </font>
  </fonts>
  <fills count="3">
    <fill>
      <patternFill patternType="none"/>
    </fill>
    <fill>
      <patternFill patternType="gray125"/>
    </fill>
    <fill>
      <patternFill patternType="solid">
        <fgColor rgb="FFFFFF00"/>
        <bgColor indexed="64"/>
      </patternFill>
    </fill>
  </fills>
  <borders count="4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right style="thick">
        <color indexed="64"/>
      </right>
      <top/>
      <bottom/>
      <diagonal/>
    </border>
  </borders>
  <cellStyleXfs count="4">
    <xf numFmtId="0" fontId="0"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cellStyleXfs>
  <cellXfs count="248">
    <xf numFmtId="0" fontId="0" fillId="0" borderId="0" xfId="0"/>
    <xf numFmtId="0" fontId="2" fillId="0" borderId="0" xfId="0" applyFont="1"/>
    <xf numFmtId="0" fontId="3" fillId="0" borderId="0" xfId="0" applyFont="1" applyAlignment="1">
      <alignment horizontal="center"/>
    </xf>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applyProtection="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2" fontId="10" fillId="0" borderId="1" xfId="0" applyNumberFormat="1" applyFont="1" applyBorder="1" applyAlignment="1">
      <alignment horizontal="center" vertical="center"/>
    </xf>
    <xf numFmtId="0" fontId="7" fillId="0" borderId="0" xfId="0" applyFont="1"/>
    <xf numFmtId="0" fontId="10" fillId="0" borderId="2" xfId="0" applyFont="1" applyBorder="1"/>
    <xf numFmtId="166" fontId="10" fillId="0" borderId="0" xfId="0" applyNumberFormat="1" applyFont="1" applyAlignment="1">
      <alignment horizontal="right"/>
    </xf>
    <xf numFmtId="0" fontId="10" fillId="0" borderId="0" xfId="0" applyFont="1" applyAlignment="1">
      <alignment horizontal="right"/>
    </xf>
    <xf numFmtId="0" fontId="10" fillId="0" borderId="3" xfId="0" applyFont="1" applyBorder="1" applyAlignment="1">
      <alignment horizontal="right"/>
    </xf>
    <xf numFmtId="0" fontId="10" fillId="0" borderId="4" xfId="0" applyFont="1" applyBorder="1" applyAlignment="1">
      <alignment horizontal="center"/>
    </xf>
    <xf numFmtId="0" fontId="10" fillId="0" borderId="5" xfId="0" applyFont="1" applyBorder="1" applyAlignment="1">
      <alignment horizontal="center" wrapText="1"/>
    </xf>
    <xf numFmtId="0" fontId="10" fillId="0" borderId="6" xfId="0" applyFont="1" applyBorder="1" applyAlignment="1">
      <alignment horizontal="center"/>
    </xf>
    <xf numFmtId="0" fontId="10" fillId="0" borderId="5" xfId="0" applyFont="1" applyBorder="1" applyAlignment="1">
      <alignment horizontal="center"/>
    </xf>
    <xf numFmtId="0" fontId="10" fillId="0" borderId="7" xfId="0" applyFont="1" applyBorder="1" applyAlignment="1">
      <alignment horizontal="right"/>
    </xf>
    <xf numFmtId="166" fontId="10" fillId="0" borderId="8" xfId="0" applyNumberFormat="1" applyFont="1" applyBorder="1" applyAlignment="1">
      <alignment horizontal="right"/>
    </xf>
    <xf numFmtId="165" fontId="10" fillId="0" borderId="0" xfId="1" applyNumberFormat="1" applyFont="1" applyBorder="1" applyAlignment="1" applyProtection="1">
      <alignment horizontal="right"/>
    </xf>
    <xf numFmtId="166" fontId="10" fillId="0" borderId="9" xfId="0" applyNumberFormat="1" applyFont="1" applyBorder="1" applyAlignment="1">
      <alignment horizontal="center"/>
    </xf>
    <xf numFmtId="0" fontId="10" fillId="0" borderId="8" xfId="0" applyFont="1" applyBorder="1" applyAlignment="1">
      <alignment horizontal="center"/>
    </xf>
    <xf numFmtId="0" fontId="10" fillId="0" borderId="10" xfId="0" applyFont="1" applyBorder="1" applyAlignment="1">
      <alignment horizontal="center" wrapText="1"/>
    </xf>
    <xf numFmtId="0" fontId="10" fillId="0" borderId="7" xfId="0" applyFont="1" applyBorder="1" applyAlignment="1">
      <alignment horizontal="center"/>
    </xf>
    <xf numFmtId="0" fontId="10" fillId="0" borderId="10" xfId="0" applyFont="1" applyBorder="1" applyAlignment="1">
      <alignment horizontal="center"/>
    </xf>
    <xf numFmtId="17" fontId="7" fillId="0" borderId="6" xfId="0" quotePrefix="1" applyNumberFormat="1" applyFont="1" applyBorder="1" applyAlignment="1">
      <alignment horizontal="right"/>
    </xf>
    <xf numFmtId="165" fontId="7" fillId="0" borderId="4" xfId="1" applyNumberFormat="1" applyFont="1" applyBorder="1" applyAlignment="1" applyProtection="1">
      <alignment horizontal="right"/>
    </xf>
    <xf numFmtId="165" fontId="7" fillId="0" borderId="5" xfId="1" applyNumberFormat="1" applyFont="1" applyBorder="1" applyAlignment="1" applyProtection="1">
      <alignment horizontal="right"/>
    </xf>
    <xf numFmtId="44" fontId="7" fillId="0" borderId="11" xfId="2" applyFont="1" applyBorder="1" applyAlignment="1" applyProtection="1">
      <alignment horizontal="right"/>
    </xf>
    <xf numFmtId="44" fontId="7" fillId="0" borderId="6" xfId="2" applyFont="1" applyBorder="1" applyAlignment="1" applyProtection="1">
      <alignment horizontal="right"/>
    </xf>
    <xf numFmtId="44" fontId="7" fillId="0" borderId="4" xfId="2" applyFont="1" applyBorder="1" applyAlignment="1" applyProtection="1">
      <alignment horizontal="center"/>
    </xf>
    <xf numFmtId="44" fontId="7" fillId="0" borderId="4" xfId="2" applyFont="1" applyBorder="1" applyProtection="1"/>
    <xf numFmtId="165" fontId="7" fillId="0" borderId="5" xfId="1" applyNumberFormat="1" applyFont="1" applyBorder="1" applyAlignment="1" applyProtection="1">
      <alignment horizontal="center" wrapText="1"/>
    </xf>
    <xf numFmtId="44" fontId="7" fillId="0" borderId="6" xfId="2" applyFont="1" applyBorder="1" applyProtection="1"/>
    <xf numFmtId="10" fontId="7" fillId="0" borderId="5" xfId="3" applyNumberFormat="1" applyFont="1" applyBorder="1" applyProtection="1"/>
    <xf numFmtId="165" fontId="7" fillId="0" borderId="0" xfId="0" applyNumberFormat="1" applyFont="1"/>
    <xf numFmtId="165" fontId="7" fillId="0" borderId="0" xfId="1" applyNumberFormat="1" applyFont="1" applyBorder="1" applyAlignment="1" applyProtection="1">
      <alignment horizontal="right"/>
    </xf>
    <xf numFmtId="165" fontId="7" fillId="0" borderId="12" xfId="1" applyNumberFormat="1" applyFont="1" applyBorder="1" applyAlignment="1" applyProtection="1">
      <alignment horizontal="right"/>
    </xf>
    <xf numFmtId="44" fontId="7" fillId="0" borderId="3" xfId="2" applyFont="1" applyBorder="1" applyAlignment="1" applyProtection="1">
      <alignment horizontal="right"/>
    </xf>
    <xf numFmtId="44" fontId="7" fillId="0" borderId="2" xfId="2" applyFont="1" applyBorder="1" applyAlignment="1" applyProtection="1">
      <alignment horizontal="right"/>
    </xf>
    <xf numFmtId="44" fontId="7" fillId="0" borderId="0" xfId="2" applyFont="1" applyBorder="1" applyAlignment="1" applyProtection="1">
      <alignment horizontal="right"/>
    </xf>
    <xf numFmtId="10" fontId="7" fillId="0" borderId="12" xfId="3" applyNumberFormat="1" applyFont="1" applyBorder="1" applyAlignment="1" applyProtection="1">
      <alignment horizontal="right"/>
    </xf>
    <xf numFmtId="17" fontId="7" fillId="0" borderId="7" xfId="0" applyNumberFormat="1" applyFont="1" applyBorder="1" applyAlignment="1">
      <alignment horizontal="right"/>
    </xf>
    <xf numFmtId="165" fontId="7" fillId="0" borderId="8" xfId="1" applyNumberFormat="1" applyFont="1" applyBorder="1" applyAlignment="1" applyProtection="1">
      <alignment horizontal="right"/>
    </xf>
    <xf numFmtId="165" fontId="7" fillId="0" borderId="10" xfId="1" applyNumberFormat="1" applyFont="1" applyBorder="1" applyAlignment="1" applyProtection="1">
      <alignment horizontal="right"/>
    </xf>
    <xf numFmtId="44" fontId="7" fillId="0" borderId="9" xfId="2" applyFont="1" applyBorder="1" applyAlignment="1" applyProtection="1">
      <alignment horizontal="right"/>
    </xf>
    <xf numFmtId="44" fontId="7" fillId="0" borderId="7" xfId="2" applyFont="1" applyBorder="1" applyAlignment="1" applyProtection="1">
      <alignment horizontal="right"/>
    </xf>
    <xf numFmtId="44" fontId="7" fillId="0" borderId="8" xfId="2" applyFont="1" applyBorder="1" applyAlignment="1" applyProtection="1">
      <alignment horizontal="center"/>
    </xf>
    <xf numFmtId="44" fontId="7" fillId="0" borderId="8" xfId="2" applyFont="1" applyBorder="1" applyProtection="1"/>
    <xf numFmtId="165" fontId="7" fillId="0" borderId="10" xfId="1" applyNumberFormat="1" applyFont="1" applyBorder="1" applyAlignment="1" applyProtection="1">
      <alignment horizontal="center" wrapText="1"/>
    </xf>
    <xf numFmtId="44" fontId="7" fillId="0" borderId="7" xfId="2" applyFont="1" applyBorder="1" applyProtection="1"/>
    <xf numFmtId="10" fontId="7" fillId="0" borderId="10" xfId="3" applyNumberFormat="1" applyFont="1" applyBorder="1" applyAlignment="1" applyProtection="1">
      <alignment horizontal="center"/>
    </xf>
    <xf numFmtId="0" fontId="10" fillId="0" borderId="13" xfId="0" applyFont="1" applyBorder="1" applyAlignment="1">
      <alignment horizontal="right"/>
    </xf>
    <xf numFmtId="165" fontId="10" fillId="0" borderId="14" xfId="1" applyNumberFormat="1" applyFont="1" applyBorder="1" applyAlignment="1" applyProtection="1">
      <alignment horizontal="right"/>
    </xf>
    <xf numFmtId="44" fontId="10" fillId="0" borderId="13" xfId="2" applyFont="1" applyBorder="1" applyProtection="1"/>
    <xf numFmtId="44" fontId="10" fillId="0" borderId="14" xfId="2" applyFont="1" applyBorder="1" applyProtection="1"/>
    <xf numFmtId="44" fontId="10" fillId="0" borderId="14" xfId="2" applyFont="1" applyBorder="1" applyAlignment="1" applyProtection="1">
      <alignment horizontal="right"/>
    </xf>
    <xf numFmtId="165" fontId="10" fillId="0" borderId="15" xfId="1" applyNumberFormat="1" applyFont="1" applyBorder="1" applyAlignment="1" applyProtection="1">
      <alignment horizontal="center" wrapText="1"/>
    </xf>
    <xf numFmtId="0" fontId="10" fillId="0" borderId="0" xfId="0" applyFont="1"/>
    <xf numFmtId="0" fontId="7" fillId="0" borderId="0" xfId="0" applyFont="1" applyAlignment="1">
      <alignment horizontal="center"/>
    </xf>
    <xf numFmtId="0" fontId="7" fillId="0" borderId="0" xfId="0" applyFont="1" applyAlignment="1">
      <alignment horizontal="center" wrapText="1"/>
    </xf>
    <xf numFmtId="0" fontId="10" fillId="0" borderId="0" xfId="0" applyFont="1" applyAlignment="1">
      <alignment horizontal="center"/>
    </xf>
    <xf numFmtId="0" fontId="7" fillId="0" borderId="16" xfId="0" applyFont="1" applyBorder="1"/>
    <xf numFmtId="0" fontId="7" fillId="0" borderId="17" xfId="0" applyFont="1" applyBorder="1" applyAlignment="1">
      <alignment horizontal="center"/>
    </xf>
    <xf numFmtId="44" fontId="7" fillId="0" borderId="17" xfId="2" applyFont="1" applyBorder="1" applyProtection="1"/>
    <xf numFmtId="0" fontId="7" fillId="0" borderId="17" xfId="0" applyFont="1" applyBorder="1" applyAlignment="1">
      <alignment horizontal="right"/>
    </xf>
    <xf numFmtId="167" fontId="7" fillId="0" borderId="17" xfId="0" applyNumberFormat="1" applyFont="1" applyBorder="1" applyAlignment="1">
      <alignment horizontal="center"/>
    </xf>
    <xf numFmtId="167" fontId="7" fillId="0" borderId="0" xfId="0" applyNumberFormat="1" applyFont="1" applyAlignment="1">
      <alignment horizontal="center"/>
    </xf>
    <xf numFmtId="165" fontId="7" fillId="0" borderId="17" xfId="1" applyNumberFormat="1" applyFont="1" applyBorder="1" applyAlignment="1" applyProtection="1">
      <alignment horizontal="right"/>
    </xf>
    <xf numFmtId="43" fontId="7" fillId="0" borderId="17" xfId="1" applyFont="1" applyBorder="1" applyProtection="1"/>
    <xf numFmtId="10" fontId="7" fillId="0" borderId="17" xfId="0" applyNumberFormat="1" applyFont="1" applyBorder="1"/>
    <xf numFmtId="167" fontId="7" fillId="0" borderId="0" xfId="0" applyNumberFormat="1" applyFont="1" applyAlignment="1">
      <alignment horizontal="right"/>
    </xf>
    <xf numFmtId="0" fontId="7" fillId="0" borderId="0" xfId="0" applyFont="1" applyAlignment="1">
      <alignment horizontal="left"/>
    </xf>
    <xf numFmtId="8" fontId="7" fillId="0" borderId="0" xfId="0" applyNumberFormat="1" applyFont="1"/>
    <xf numFmtId="0" fontId="7" fillId="0" borderId="0" xfId="0" applyFont="1" applyAlignment="1">
      <alignment horizontal="right"/>
    </xf>
    <xf numFmtId="3" fontId="7" fillId="0" borderId="0" xfId="0" applyNumberFormat="1" applyFont="1" applyAlignment="1">
      <alignment horizontal="left"/>
    </xf>
    <xf numFmtId="17" fontId="7" fillId="0" borderId="2" xfId="0" applyNumberFormat="1" applyFont="1" applyBorder="1" applyAlignment="1">
      <alignment horizontal="right"/>
    </xf>
    <xf numFmtId="37" fontId="7" fillId="0" borderId="12" xfId="2" applyNumberFormat="1" applyFont="1" applyBorder="1" applyAlignment="1" applyProtection="1">
      <alignment horizontal="right"/>
    </xf>
    <xf numFmtId="167" fontId="3" fillId="0" borderId="0" xfId="0" applyNumberFormat="1" applyFont="1" applyAlignment="1">
      <alignment horizontal="center"/>
    </xf>
    <xf numFmtId="0" fontId="2" fillId="0" borderId="0" xfId="0" applyFont="1" applyAlignment="1">
      <alignment horizontal="center"/>
    </xf>
    <xf numFmtId="168" fontId="1" fillId="0" borderId="0" xfId="0" applyNumberFormat="1" applyFont="1" applyAlignment="1">
      <alignment horizontal="center"/>
    </xf>
    <xf numFmtId="167" fontId="5" fillId="0" borderId="0" xfId="0" applyNumberFormat="1" applyFont="1" applyAlignment="1">
      <alignment horizontal="center"/>
    </xf>
    <xf numFmtId="167" fontId="1" fillId="0" borderId="0" xfId="0" applyNumberFormat="1" applyFont="1" applyAlignment="1">
      <alignment horizontal="center"/>
    </xf>
    <xf numFmtId="167" fontId="1" fillId="0" borderId="0" xfId="0" applyNumberFormat="1" applyFont="1" applyAlignment="1">
      <alignment horizontal="left"/>
    </xf>
    <xf numFmtId="167" fontId="2" fillId="0" borderId="0" xfId="0" applyNumberFormat="1" applyFont="1"/>
    <xf numFmtId="167" fontId="3" fillId="0" borderId="0" xfId="0" applyNumberFormat="1" applyFont="1" applyAlignment="1">
      <alignment horizontal="right"/>
    </xf>
    <xf numFmtId="167" fontId="10" fillId="0" borderId="18" xfId="1" applyNumberFormat="1" applyFont="1" applyBorder="1" applyAlignment="1" applyProtection="1">
      <alignment horizontal="center"/>
    </xf>
    <xf numFmtId="167" fontId="10" fillId="0" borderId="19" xfId="0" applyNumberFormat="1" applyFont="1" applyBorder="1" applyAlignment="1">
      <alignment horizontal="center"/>
    </xf>
    <xf numFmtId="17" fontId="7" fillId="0" borderId="20" xfId="0" quotePrefix="1" applyNumberFormat="1" applyFont="1" applyBorder="1" applyAlignment="1">
      <alignment horizontal="right" wrapText="1"/>
    </xf>
    <xf numFmtId="167" fontId="7" fillId="0" borderId="21" xfId="1" applyNumberFormat="1" applyFont="1" applyBorder="1" applyAlignment="1" applyProtection="1">
      <alignment horizontal="right"/>
    </xf>
    <xf numFmtId="17" fontId="7" fillId="0" borderId="22" xfId="0" applyNumberFormat="1" applyFont="1" applyBorder="1" applyAlignment="1">
      <alignment horizontal="right"/>
    </xf>
    <xf numFmtId="167" fontId="7" fillId="0" borderId="23" xfId="1" applyNumberFormat="1" applyFont="1" applyBorder="1" applyAlignment="1" applyProtection="1">
      <alignment horizontal="right"/>
    </xf>
    <xf numFmtId="17" fontId="7" fillId="0" borderId="24" xfId="0" applyNumberFormat="1" applyFont="1" applyBorder="1" applyAlignment="1">
      <alignment horizontal="right"/>
    </xf>
    <xf numFmtId="167" fontId="7" fillId="0" borderId="25" xfId="1" applyNumberFormat="1" applyFont="1" applyBorder="1" applyAlignment="1" applyProtection="1">
      <alignment horizontal="right"/>
    </xf>
    <xf numFmtId="167" fontId="7" fillId="0" borderId="25" xfId="2" applyNumberFormat="1" applyFont="1" applyBorder="1" applyAlignment="1" applyProtection="1">
      <alignment horizontal="right"/>
    </xf>
    <xf numFmtId="0" fontId="10" fillId="0" borderId="26" xfId="0" applyFont="1" applyBorder="1" applyAlignment="1">
      <alignment horizontal="right"/>
    </xf>
    <xf numFmtId="167" fontId="10" fillId="0" borderId="19" xfId="1" applyNumberFormat="1" applyFont="1" applyBorder="1" applyAlignment="1" applyProtection="1">
      <alignment horizontal="right"/>
    </xf>
    <xf numFmtId="167" fontId="7" fillId="0" borderId="0" xfId="0" applyNumberFormat="1" applyFont="1"/>
    <xf numFmtId="0" fontId="7" fillId="0" borderId="0" xfId="0" applyFont="1" applyAlignment="1">
      <alignment horizontal="left" vertical="center" wrapText="1"/>
    </xf>
    <xf numFmtId="167" fontId="7" fillId="0" borderId="0" xfId="0" applyNumberFormat="1" applyFont="1" applyAlignment="1">
      <alignment horizontal="left" vertical="center" wrapText="1"/>
    </xf>
    <xf numFmtId="0" fontId="9" fillId="0" borderId="0" xfId="0" applyFont="1" applyAlignment="1">
      <alignment horizontal="left"/>
    </xf>
    <xf numFmtId="167" fontId="9" fillId="0" borderId="0" xfId="0" applyNumberFormat="1" applyFont="1" applyAlignment="1">
      <alignment horizontal="left"/>
    </xf>
    <xf numFmtId="167" fontId="9" fillId="0" borderId="0" xfId="0" applyNumberFormat="1" applyFont="1"/>
    <xf numFmtId="10" fontId="10" fillId="0" borderId="15" xfId="0" applyNumberFormat="1" applyFont="1" applyBorder="1" applyAlignment="1">
      <alignment horizontal="right"/>
    </xf>
    <xf numFmtId="44" fontId="15" fillId="0" borderId="17" xfId="2" applyFont="1" applyBorder="1" applyProtection="1"/>
    <xf numFmtId="43" fontId="15" fillId="0" borderId="17" xfId="1" applyFont="1" applyBorder="1" applyProtection="1"/>
    <xf numFmtId="10" fontId="15" fillId="0" borderId="17" xfId="0" applyNumberFormat="1" applyFont="1" applyBorder="1"/>
    <xf numFmtId="44" fontId="19" fillId="0" borderId="17" xfId="2" applyFont="1" applyBorder="1" applyProtection="1"/>
    <xf numFmtId="43" fontId="19" fillId="0" borderId="17" xfId="1" applyFont="1" applyBorder="1" applyProtection="1"/>
    <xf numFmtId="10" fontId="19" fillId="0" borderId="17" xfId="0" applyNumberFormat="1" applyFont="1" applyBorder="1"/>
    <xf numFmtId="167" fontId="20" fillId="0" borderId="23" xfId="2" applyNumberFormat="1" applyFont="1" applyBorder="1" applyAlignment="1" applyProtection="1">
      <alignment horizontal="right"/>
    </xf>
    <xf numFmtId="10" fontId="20" fillId="0" borderId="12" xfId="3" applyNumberFormat="1" applyFont="1" applyBorder="1" applyAlignment="1" applyProtection="1">
      <alignment horizontal="right"/>
    </xf>
    <xf numFmtId="37" fontId="20" fillId="0" borderId="12" xfId="2" applyNumberFormat="1" applyFont="1" applyBorder="1" applyAlignment="1" applyProtection="1">
      <alignment horizontal="right"/>
    </xf>
    <xf numFmtId="167" fontId="7" fillId="0" borderId="23" xfId="2" applyNumberFormat="1" applyFont="1" applyBorder="1" applyAlignment="1" applyProtection="1">
      <alignment horizontal="right"/>
    </xf>
    <xf numFmtId="167" fontId="3" fillId="0" borderId="0" xfId="0" applyNumberFormat="1" applyFont="1" applyAlignment="1">
      <alignment horizontal="center" wrapText="1"/>
    </xf>
    <xf numFmtId="0" fontId="1" fillId="0" borderId="0" xfId="0" applyFont="1" applyAlignment="1">
      <alignment horizontal="center" wrapText="1"/>
    </xf>
    <xf numFmtId="0" fontId="7" fillId="0" borderId="0" xfId="0" applyFont="1" applyAlignment="1">
      <alignment wrapText="1"/>
    </xf>
    <xf numFmtId="0" fontId="9" fillId="0" borderId="0" xfId="0" applyFont="1" applyAlignment="1">
      <alignment horizontal="left" wrapText="1"/>
    </xf>
    <xf numFmtId="0" fontId="9" fillId="0" borderId="0" xfId="0" applyFont="1" applyAlignment="1">
      <alignment wrapText="1"/>
    </xf>
    <xf numFmtId="44" fontId="3" fillId="0" borderId="0" xfId="2" applyFont="1" applyAlignment="1">
      <alignment horizontal="center"/>
    </xf>
    <xf numFmtId="44" fontId="1" fillId="0" borderId="0" xfId="2" applyFont="1" applyAlignment="1">
      <alignment horizontal="center"/>
    </xf>
    <xf numFmtId="44" fontId="3" fillId="0" borderId="0" xfId="2" applyFont="1" applyAlignment="1">
      <alignment horizontal="right"/>
    </xf>
    <xf numFmtId="44" fontId="10" fillId="0" borderId="4" xfId="2" applyFont="1" applyBorder="1" applyAlignment="1">
      <alignment horizontal="center" wrapText="1"/>
    </xf>
    <xf numFmtId="44" fontId="10" fillId="0" borderId="8" xfId="2" applyFont="1" applyBorder="1" applyAlignment="1">
      <alignment horizontal="center" wrapText="1"/>
    </xf>
    <xf numFmtId="44" fontId="20" fillId="0" borderId="0" xfId="2" applyFont="1" applyBorder="1" applyAlignment="1" applyProtection="1">
      <alignment horizontal="right"/>
    </xf>
    <xf numFmtId="44" fontId="7" fillId="0" borderId="8" xfId="2" applyFont="1" applyBorder="1" applyAlignment="1" applyProtection="1">
      <alignment horizontal="right"/>
    </xf>
    <xf numFmtId="44" fontId="10" fillId="0" borderId="41" xfId="2" applyFont="1" applyBorder="1" applyAlignment="1" applyProtection="1">
      <alignment horizontal="right"/>
    </xf>
    <xf numFmtId="44" fontId="7" fillId="0" borderId="0" xfId="2" applyFont="1"/>
    <xf numFmtId="44" fontId="7" fillId="0" borderId="0" xfId="2" applyFont="1" applyAlignment="1">
      <alignment horizontal="left" vertical="center" wrapText="1"/>
    </xf>
    <xf numFmtId="44" fontId="9" fillId="0" borderId="0" xfId="2" applyFont="1" applyAlignment="1">
      <alignment horizontal="left"/>
    </xf>
    <xf numFmtId="44" fontId="9" fillId="0" borderId="0" xfId="2" applyFont="1"/>
    <xf numFmtId="167" fontId="7" fillId="2" borderId="21" xfId="2" applyNumberFormat="1" applyFont="1" applyFill="1" applyBorder="1" applyAlignment="1" applyProtection="1">
      <alignment horizontal="right"/>
    </xf>
    <xf numFmtId="165" fontId="21" fillId="0" borderId="14" xfId="1" applyNumberFormat="1" applyFont="1" applyBorder="1" applyAlignment="1" applyProtection="1">
      <alignment horizontal="right"/>
    </xf>
    <xf numFmtId="44" fontId="7" fillId="0" borderId="0" xfId="2" applyFont="1" applyFill="1" applyBorder="1" applyAlignment="1" applyProtection="1">
      <alignment horizontal="right"/>
    </xf>
    <xf numFmtId="0" fontId="7" fillId="0" borderId="0" xfId="2" applyNumberFormat="1" applyFont="1" applyBorder="1" applyAlignment="1" applyProtection="1">
      <alignment horizontal="right"/>
    </xf>
    <xf numFmtId="0" fontId="7" fillId="0" borderId="42" xfId="2" applyNumberFormat="1" applyFont="1" applyBorder="1" applyAlignment="1" applyProtection="1">
      <alignment horizontal="right"/>
    </xf>
    <xf numFmtId="44" fontId="22" fillId="0" borderId="17" xfId="2" applyFont="1" applyBorder="1" applyProtection="1"/>
    <xf numFmtId="43" fontId="22" fillId="0" borderId="17" xfId="1" applyFont="1" applyBorder="1" applyProtection="1"/>
    <xf numFmtId="10" fontId="22" fillId="0" borderId="17" xfId="0" applyNumberFormat="1" applyFont="1" applyBorder="1"/>
    <xf numFmtId="10" fontId="23" fillId="0" borderId="15" xfId="0" applyNumberFormat="1" applyFont="1" applyBorder="1" applyAlignment="1">
      <alignment vertical="center"/>
    </xf>
    <xf numFmtId="0" fontId="1" fillId="0" borderId="0" xfId="0" applyFont="1" applyAlignment="1">
      <alignment horizontal="center"/>
    </xf>
    <xf numFmtId="0" fontId="3" fillId="0" borderId="0" xfId="0" applyFont="1" applyAlignment="1">
      <alignment horizontal="center"/>
    </xf>
    <xf numFmtId="0" fontId="3" fillId="0" borderId="0" xfId="0" applyFont="1" applyAlignment="1">
      <alignment horizontal="right"/>
    </xf>
    <xf numFmtId="0" fontId="1" fillId="0" borderId="0" xfId="0" applyFont="1" applyAlignment="1">
      <alignment horizontal="left"/>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0" xfId="0" applyFont="1" applyAlignment="1">
      <alignment horizontal="center" vertical="center" wrapText="1"/>
    </xf>
    <xf numFmtId="0" fontId="7" fillId="0" borderId="33"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36" xfId="0" applyFont="1" applyBorder="1" applyAlignment="1">
      <alignment horizontal="center" vertical="center" wrapText="1"/>
    </xf>
    <xf numFmtId="0" fontId="14" fillId="0" borderId="16" xfId="0" applyFont="1" applyBorder="1" applyAlignment="1">
      <alignment horizontal="center"/>
    </xf>
    <xf numFmtId="0" fontId="15" fillId="0" borderId="27" xfId="0" applyFont="1" applyBorder="1" applyAlignment="1">
      <alignment horizontal="center"/>
    </xf>
    <xf numFmtId="0" fontId="15" fillId="0" borderId="28" xfId="0" applyFont="1" applyBorder="1" applyAlignment="1">
      <alignment horizontal="center"/>
    </xf>
    <xf numFmtId="0" fontId="15" fillId="0" borderId="16" xfId="0" applyFont="1" applyBorder="1" applyAlignment="1">
      <alignment horizontal="right"/>
    </xf>
    <xf numFmtId="0" fontId="15" fillId="0" borderId="27" xfId="0" applyFont="1" applyBorder="1" applyAlignment="1">
      <alignment horizontal="right"/>
    </xf>
    <xf numFmtId="0" fontId="15" fillId="0" borderId="28" xfId="0" applyFont="1" applyBorder="1" applyAlignment="1">
      <alignment horizontal="right"/>
    </xf>
    <xf numFmtId="2" fontId="10" fillId="0" borderId="13" xfId="0" applyNumberFormat="1" applyFont="1" applyBorder="1" applyAlignment="1">
      <alignment horizontal="center" vertical="center"/>
    </xf>
    <xf numFmtId="2" fontId="10" fillId="0" borderId="14" xfId="0" applyNumberFormat="1" applyFont="1" applyBorder="1" applyAlignment="1">
      <alignment horizontal="center" vertical="center"/>
    </xf>
    <xf numFmtId="0" fontId="14" fillId="0" borderId="16" xfId="0" applyFont="1" applyBorder="1" applyAlignment="1">
      <alignment horizontal="right"/>
    </xf>
    <xf numFmtId="0" fontId="14" fillId="0" borderId="27" xfId="0" applyFont="1" applyBorder="1" applyAlignment="1">
      <alignment horizontal="right"/>
    </xf>
    <xf numFmtId="0" fontId="14" fillId="0" borderId="28" xfId="0" applyFont="1" applyBorder="1" applyAlignment="1">
      <alignment horizontal="right"/>
    </xf>
    <xf numFmtId="0" fontId="7" fillId="0" borderId="16" xfId="0" applyFont="1" applyBorder="1" applyAlignment="1">
      <alignment horizontal="right"/>
    </xf>
    <xf numFmtId="0" fontId="7" fillId="0" borderId="27" xfId="0" applyFont="1" applyBorder="1" applyAlignment="1">
      <alignment horizontal="right"/>
    </xf>
    <xf numFmtId="0" fontId="7" fillId="0" borderId="28" xfId="0" applyFont="1" applyBorder="1" applyAlignment="1">
      <alignment horizontal="right"/>
    </xf>
    <xf numFmtId="0" fontId="10" fillId="0" borderId="16" xfId="0" applyFont="1" applyBorder="1" applyAlignment="1">
      <alignment horizontal="center"/>
    </xf>
    <xf numFmtId="0" fontId="7" fillId="0" borderId="27" xfId="0" applyFont="1" applyBorder="1" applyAlignment="1">
      <alignment horizontal="center"/>
    </xf>
    <xf numFmtId="0" fontId="7" fillId="0" borderId="28" xfId="0" applyFont="1" applyBorder="1" applyAlignment="1">
      <alignment horizont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10" fillId="0" borderId="13" xfId="0" applyFont="1" applyBorder="1" applyAlignment="1">
      <alignment horizontal="center" vertical="center"/>
    </xf>
    <xf numFmtId="0" fontId="10" fillId="0" borderId="37" xfId="0" applyFont="1" applyBorder="1" applyAlignment="1">
      <alignment horizontal="center"/>
    </xf>
    <xf numFmtId="0" fontId="10" fillId="0" borderId="38" xfId="0" applyFont="1" applyBorder="1" applyAlignment="1">
      <alignment horizontal="center"/>
    </xf>
    <xf numFmtId="0" fontId="10" fillId="0" borderId="39" xfId="0" applyFont="1" applyBorder="1" applyAlignment="1">
      <alignment horizontal="center"/>
    </xf>
    <xf numFmtId="0" fontId="7" fillId="0" borderId="16" xfId="0" applyFont="1" applyBorder="1" applyAlignment="1">
      <alignment horizontal="center"/>
    </xf>
    <xf numFmtId="167" fontId="7" fillId="0" borderId="27" xfId="0" applyNumberFormat="1" applyFont="1" applyBorder="1" applyAlignment="1">
      <alignment horizontal="center"/>
    </xf>
    <xf numFmtId="167" fontId="7" fillId="0" borderId="28" xfId="0" applyNumberFormat="1" applyFont="1" applyBorder="1" applyAlignment="1">
      <alignment horizontal="center"/>
    </xf>
    <xf numFmtId="167" fontId="7" fillId="0" borderId="16" xfId="0" applyNumberFormat="1" applyFont="1" applyBorder="1" applyAlignment="1">
      <alignment horizontal="center"/>
    </xf>
    <xf numFmtId="0" fontId="18" fillId="0" borderId="16" xfId="0" applyFont="1" applyBorder="1" applyAlignment="1">
      <alignment horizontal="right"/>
    </xf>
    <xf numFmtId="0" fontId="18" fillId="0" borderId="27" xfId="0" applyFont="1" applyBorder="1" applyAlignment="1">
      <alignment horizontal="right"/>
    </xf>
    <xf numFmtId="0" fontId="18" fillId="0" borderId="28" xfId="0" applyFont="1" applyBorder="1" applyAlignment="1">
      <alignment horizontal="right"/>
    </xf>
    <xf numFmtId="0" fontId="18" fillId="0" borderId="16"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16" xfId="0" applyFont="1" applyBorder="1" applyAlignment="1">
      <alignment horizontal="right"/>
    </xf>
    <xf numFmtId="0" fontId="19" fillId="0" borderId="27" xfId="0" applyFont="1" applyBorder="1" applyAlignment="1">
      <alignment horizontal="right"/>
    </xf>
    <xf numFmtId="0" fontId="19" fillId="0" borderId="28" xfId="0" applyFont="1" applyBorder="1" applyAlignment="1">
      <alignment horizontal="right"/>
    </xf>
    <xf numFmtId="3" fontId="7" fillId="0" borderId="2" xfId="0" applyNumberFormat="1" applyFont="1" applyBorder="1" applyAlignment="1">
      <alignment horizontal="left"/>
    </xf>
    <xf numFmtId="3" fontId="7" fillId="0" borderId="0" xfId="0" applyNumberFormat="1" applyFont="1" applyAlignment="1">
      <alignment horizontal="left"/>
    </xf>
    <xf numFmtId="3" fontId="7" fillId="0" borderId="12" xfId="0" applyNumberFormat="1" applyFont="1" applyBorder="1" applyAlignment="1">
      <alignment horizontal="left"/>
    </xf>
    <xf numFmtId="3" fontId="7" fillId="0" borderId="7" xfId="0" applyNumberFormat="1" applyFont="1" applyBorder="1" applyAlignment="1">
      <alignment horizontal="left"/>
    </xf>
    <xf numFmtId="3" fontId="7" fillId="0" borderId="8" xfId="0" applyNumberFormat="1" applyFont="1" applyBorder="1" applyAlignment="1">
      <alignment horizontal="left"/>
    </xf>
    <xf numFmtId="3" fontId="7" fillId="0" borderId="10" xfId="0" applyNumberFormat="1" applyFont="1" applyBorder="1" applyAlignment="1">
      <alignment horizontal="left"/>
    </xf>
    <xf numFmtId="0" fontId="10" fillId="0" borderId="11" xfId="0" applyFont="1" applyBorder="1" applyAlignment="1">
      <alignment horizontal="center"/>
    </xf>
    <xf numFmtId="3" fontId="7" fillId="0" borderId="6" xfId="0" applyNumberFormat="1" applyFont="1" applyBorder="1" applyAlignment="1">
      <alignment horizontal="left"/>
    </xf>
    <xf numFmtId="3" fontId="7" fillId="0" borderId="4" xfId="0" applyNumberFormat="1" applyFont="1" applyBorder="1" applyAlignment="1">
      <alignment horizontal="left"/>
    </xf>
    <xf numFmtId="3" fontId="7" fillId="0" borderId="5" xfId="0" applyNumberFormat="1" applyFont="1" applyBorder="1" applyAlignment="1">
      <alignment horizontal="left"/>
    </xf>
    <xf numFmtId="167" fontId="3" fillId="0" borderId="0" xfId="0" applyNumberFormat="1" applyFont="1" applyAlignment="1">
      <alignment horizontal="center"/>
    </xf>
    <xf numFmtId="0" fontId="1" fillId="0" borderId="0" xfId="0" applyFont="1" applyAlignment="1">
      <alignment horizontal="center" wrapText="1"/>
    </xf>
    <xf numFmtId="0" fontId="10" fillId="0" borderId="20" xfId="0" applyFont="1" applyBorder="1" applyAlignment="1">
      <alignment horizontal="center"/>
    </xf>
    <xf numFmtId="0" fontId="10" fillId="0" borderId="24" xfId="0" applyFont="1" applyBorder="1" applyAlignment="1">
      <alignment horizontal="center"/>
    </xf>
    <xf numFmtId="167" fontId="10" fillId="0" borderId="21" xfId="0" applyNumberFormat="1" applyFont="1" applyBorder="1" applyAlignment="1">
      <alignment horizontal="center"/>
    </xf>
    <xf numFmtId="167" fontId="10" fillId="0" borderId="25" xfId="0" applyNumberFormat="1" applyFont="1" applyBorder="1" applyAlignment="1">
      <alignment horizontal="center"/>
    </xf>
    <xf numFmtId="167" fontId="13" fillId="0" borderId="41" xfId="0" applyNumberFormat="1" applyFont="1" applyBorder="1" applyAlignment="1">
      <alignment horizontal="center"/>
    </xf>
    <xf numFmtId="167" fontId="9" fillId="0" borderId="14" xfId="0" applyNumberFormat="1" applyFont="1" applyBorder="1" applyAlignment="1">
      <alignment horizontal="center"/>
    </xf>
    <xf numFmtId="167" fontId="9" fillId="0" borderId="18" xfId="0" applyNumberFormat="1" applyFont="1" applyBorder="1" applyAlignment="1">
      <alignment horizontal="center"/>
    </xf>
    <xf numFmtId="167" fontId="10" fillId="0" borderId="21" xfId="0" applyNumberFormat="1" applyFont="1" applyBorder="1" applyAlignment="1">
      <alignment horizontal="center" wrapText="1"/>
    </xf>
    <xf numFmtId="167" fontId="10" fillId="0" borderId="25" xfId="0" applyNumberFormat="1" applyFont="1" applyBorder="1" applyAlignment="1">
      <alignment horizontal="center" wrapText="1"/>
    </xf>
    <xf numFmtId="0" fontId="10" fillId="0" borderId="4" xfId="0" applyFont="1" applyBorder="1" applyAlignment="1">
      <alignment horizontal="center" wrapText="1"/>
    </xf>
    <xf numFmtId="0" fontId="10" fillId="0" borderId="5" xfId="0" applyFont="1" applyBorder="1" applyAlignment="1">
      <alignment horizontal="center" wrapText="1"/>
    </xf>
    <xf numFmtId="0" fontId="10" fillId="0" borderId="8" xfId="0" applyFont="1" applyBorder="1" applyAlignment="1">
      <alignment horizontal="center" wrapText="1"/>
    </xf>
    <xf numFmtId="0" fontId="10" fillId="0" borderId="10" xfId="0" applyFont="1" applyBorder="1" applyAlignment="1">
      <alignment horizontal="center" wrapText="1"/>
    </xf>
    <xf numFmtId="167" fontId="7" fillId="0" borderId="0" xfId="2" applyNumberFormat="1" applyFont="1" applyBorder="1" applyAlignment="1" applyProtection="1">
      <alignment horizontal="right" wrapText="1"/>
    </xf>
    <xf numFmtId="167" fontId="7" fillId="0" borderId="33" xfId="2" applyNumberFormat="1" applyFont="1" applyBorder="1" applyAlignment="1" applyProtection="1">
      <alignment horizontal="right" wrapText="1"/>
    </xf>
    <xf numFmtId="44" fontId="7" fillId="0" borderId="0" xfId="2" applyFont="1" applyBorder="1" applyAlignment="1" applyProtection="1">
      <alignment horizontal="left" wrapText="1"/>
    </xf>
    <xf numFmtId="44" fontId="7" fillId="0" borderId="33" xfId="2" applyFont="1" applyBorder="1" applyAlignment="1" applyProtection="1">
      <alignment horizontal="left" wrapText="1"/>
    </xf>
    <xf numFmtId="167" fontId="7" fillId="0" borderId="0" xfId="2" applyNumberFormat="1" applyFont="1" applyFill="1" applyBorder="1" applyAlignment="1" applyProtection="1">
      <alignment horizontal="right" wrapText="1"/>
    </xf>
    <xf numFmtId="167" fontId="7" fillId="0" borderId="33" xfId="2" applyNumberFormat="1" applyFont="1" applyFill="1" applyBorder="1" applyAlignment="1" applyProtection="1">
      <alignment horizontal="right" wrapText="1"/>
    </xf>
    <xf numFmtId="0" fontId="10" fillId="0" borderId="7" xfId="0" applyFont="1" applyBorder="1" applyAlignment="1">
      <alignment vertical="center" wrapText="1"/>
    </xf>
    <xf numFmtId="0" fontId="7" fillId="0" borderId="8" xfId="0" applyFont="1" applyBorder="1" applyAlignment="1">
      <alignment vertical="center" wrapText="1"/>
    </xf>
    <xf numFmtId="0" fontId="7" fillId="0" borderId="10" xfId="0" applyFont="1" applyBorder="1" applyAlignment="1">
      <alignment vertical="center" wrapText="1"/>
    </xf>
    <xf numFmtId="167" fontId="7" fillId="0" borderId="8" xfId="2" applyNumberFormat="1" applyFont="1" applyBorder="1" applyAlignment="1" applyProtection="1">
      <alignment horizontal="right" wrapText="1"/>
    </xf>
    <xf numFmtId="167" fontId="7" fillId="0" borderId="40" xfId="2" applyNumberFormat="1" applyFont="1" applyBorder="1" applyAlignment="1" applyProtection="1">
      <alignment horizontal="right" wrapText="1"/>
    </xf>
    <xf numFmtId="167" fontId="10" fillId="0" borderId="41" xfId="1" applyNumberFormat="1" applyFont="1" applyBorder="1" applyAlignment="1" applyProtection="1">
      <alignment horizontal="right" wrapText="1"/>
    </xf>
    <xf numFmtId="167" fontId="10" fillId="0" borderId="18" xfId="1" applyNumberFormat="1" applyFont="1" applyBorder="1" applyAlignment="1" applyProtection="1">
      <alignment horizontal="right" wrapText="1"/>
    </xf>
    <xf numFmtId="0" fontId="9" fillId="0" borderId="0" xfId="0" applyFont="1"/>
    <xf numFmtId="0" fontId="7" fillId="0" borderId="6"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10" fillId="0" borderId="2" xfId="0" applyFont="1" applyBorder="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10" fillId="0" borderId="12" xfId="0" applyFont="1" applyBorder="1" applyAlignment="1" applyProtection="1">
      <alignment horizontal="left" vertical="center" wrapText="1"/>
      <protection locked="0"/>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0</xdr:row>
      <xdr:rowOff>133350</xdr:rowOff>
    </xdr:from>
    <xdr:to>
      <xdr:col>3</xdr:col>
      <xdr:colOff>120650</xdr:colOff>
      <xdr:row>2</xdr:row>
      <xdr:rowOff>209550</xdr:rowOff>
    </xdr:to>
    <xdr:pic>
      <xdr:nvPicPr>
        <xdr:cNvPr id="2094" name="Picture 1">
          <a:extLst>
            <a:ext uri="{FF2B5EF4-FFF2-40B4-BE49-F238E27FC236}">
              <a16:creationId xmlns:a16="http://schemas.microsoft.com/office/drawing/2014/main" id="{00000000-0008-0000-0000-00002E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1333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1</xdr:row>
      <xdr:rowOff>19050</xdr:rowOff>
    </xdr:from>
    <xdr:to>
      <xdr:col>3</xdr:col>
      <xdr:colOff>200025</xdr:colOff>
      <xdr:row>3</xdr:row>
      <xdr:rowOff>114300</xdr:rowOff>
    </xdr:to>
    <xdr:pic>
      <xdr:nvPicPr>
        <xdr:cNvPr id="3110" name="Picture 1">
          <a:extLst>
            <a:ext uri="{FF2B5EF4-FFF2-40B4-BE49-F238E27FC236}">
              <a16:creationId xmlns:a16="http://schemas.microsoft.com/office/drawing/2014/main" id="{00000000-0008-0000-0100-00002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276225"/>
          <a:ext cx="16478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142875</xdr:colOff>
      <xdr:row>1</xdr:row>
      <xdr:rowOff>38100</xdr:rowOff>
    </xdr:from>
    <xdr:to>
      <xdr:col>3</xdr:col>
      <xdr:colOff>190500</xdr:colOff>
      <xdr:row>4</xdr:row>
      <xdr:rowOff>63500</xdr:rowOff>
    </xdr:to>
    <xdr:pic>
      <xdr:nvPicPr>
        <xdr:cNvPr id="2" name="Picture 1">
          <a:extLst>
            <a:ext uri="{FF2B5EF4-FFF2-40B4-BE49-F238E27FC236}">
              <a16:creationId xmlns:a16="http://schemas.microsoft.com/office/drawing/2014/main" id="{4495F42A-4C89-4C0D-8A4D-263BBEFA10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125" y="295275"/>
          <a:ext cx="163195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142875</xdr:colOff>
      <xdr:row>1</xdr:row>
      <xdr:rowOff>38100</xdr:rowOff>
    </xdr:from>
    <xdr:to>
      <xdr:col>3</xdr:col>
      <xdr:colOff>133350</xdr:colOff>
      <xdr:row>3</xdr:row>
      <xdr:rowOff>95250</xdr:rowOff>
    </xdr:to>
    <xdr:pic>
      <xdr:nvPicPr>
        <xdr:cNvPr id="4134" name="Picture 1">
          <a:extLst>
            <a:ext uri="{FF2B5EF4-FFF2-40B4-BE49-F238E27FC236}">
              <a16:creationId xmlns:a16="http://schemas.microsoft.com/office/drawing/2014/main" id="{00000000-0008-0000-0200-0000261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295275"/>
          <a:ext cx="15525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76200</xdr:colOff>
      <xdr:row>0</xdr:row>
      <xdr:rowOff>114300</xdr:rowOff>
    </xdr:from>
    <xdr:to>
      <xdr:col>2</xdr:col>
      <xdr:colOff>1676400</xdr:colOff>
      <xdr:row>3</xdr:row>
      <xdr:rowOff>19050</xdr:rowOff>
    </xdr:to>
    <xdr:pic>
      <xdr:nvPicPr>
        <xdr:cNvPr id="8200" name="Picture 1">
          <a:extLst>
            <a:ext uri="{FF2B5EF4-FFF2-40B4-BE49-F238E27FC236}">
              <a16:creationId xmlns:a16="http://schemas.microsoft.com/office/drawing/2014/main" id="{00000000-0008-0000-0300-0000082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5400" y="114300"/>
          <a:ext cx="160020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TLCOVFS1\Cov_Userdata\ghoperations\Andrew%20Brinkley\SIMPLE\Spreadsheets\SSS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Input Form"/>
      <sheetName val="Detail Report NEW"/>
      <sheetName val="Summary Report NEW"/>
      <sheetName val="Detail Report OLD"/>
      <sheetName val="Summary Report OLD"/>
    </sheetNames>
    <sheetDataSet>
      <sheetData sheetId="0" refreshError="1">
        <row r="6">
          <cell r="C6" t="str">
            <v>Academy Womens Healthcare</v>
          </cell>
          <cell r="D6" t="str">
            <v>S12</v>
          </cell>
          <cell r="E6" t="str">
            <v>S12DEN</v>
          </cell>
          <cell r="F6">
            <v>0</v>
          </cell>
          <cell r="G6">
            <v>0</v>
          </cell>
          <cell r="H6">
            <v>0</v>
          </cell>
          <cell r="I6">
            <v>0</v>
          </cell>
          <cell r="J6">
            <v>0</v>
          </cell>
          <cell r="K6">
            <v>0</v>
          </cell>
          <cell r="L6">
            <v>0</v>
          </cell>
        </row>
        <row r="7">
          <cell r="C7" t="str">
            <v>Academy Womens Healthcare</v>
          </cell>
          <cell r="D7" t="str">
            <v>S12</v>
          </cell>
          <cell r="E7" t="str">
            <v>S12VIS</v>
          </cell>
          <cell r="F7">
            <v>0</v>
          </cell>
          <cell r="G7">
            <v>0</v>
          </cell>
          <cell r="H7">
            <v>0</v>
          </cell>
          <cell r="I7">
            <v>0</v>
          </cell>
          <cell r="J7">
            <v>0</v>
          </cell>
          <cell r="K7">
            <v>0</v>
          </cell>
          <cell r="L7">
            <v>0</v>
          </cell>
        </row>
        <row r="8">
          <cell r="C8" t="str">
            <v>Allied</v>
          </cell>
          <cell r="D8" t="str">
            <v>S15</v>
          </cell>
          <cell r="E8" t="str">
            <v>S15DEN</v>
          </cell>
          <cell r="F8">
            <v>166</v>
          </cell>
          <cell r="G8">
            <v>94</v>
          </cell>
          <cell r="H8">
            <v>52</v>
          </cell>
          <cell r="I8">
            <v>93</v>
          </cell>
          <cell r="J8">
            <v>137</v>
          </cell>
          <cell r="K8">
            <v>40812.92</v>
          </cell>
          <cell r="L8">
            <v>27338.26</v>
          </cell>
        </row>
        <row r="9">
          <cell r="C9" t="str">
            <v>Allied</v>
          </cell>
          <cell r="D9" t="str">
            <v>S15</v>
          </cell>
          <cell r="E9" t="str">
            <v>S15VIS</v>
          </cell>
          <cell r="F9">
            <v>167</v>
          </cell>
          <cell r="G9">
            <v>92</v>
          </cell>
          <cell r="H9">
            <v>52</v>
          </cell>
          <cell r="I9">
            <v>94</v>
          </cell>
          <cell r="J9">
            <v>57</v>
          </cell>
          <cell r="K9">
            <v>10974.99</v>
          </cell>
          <cell r="L9">
            <v>6995.18</v>
          </cell>
        </row>
        <row r="10">
          <cell r="C10" t="str">
            <v>Allied UAW</v>
          </cell>
          <cell r="D10" t="str">
            <v>S15</v>
          </cell>
          <cell r="E10" t="str">
            <v>S15DEN</v>
          </cell>
          <cell r="F10">
            <v>0</v>
          </cell>
          <cell r="G10">
            <v>0</v>
          </cell>
          <cell r="H10">
            <v>0</v>
          </cell>
          <cell r="I10">
            <v>0</v>
          </cell>
          <cell r="J10">
            <v>0</v>
          </cell>
          <cell r="K10">
            <v>0</v>
          </cell>
          <cell r="L10">
            <v>0</v>
          </cell>
        </row>
        <row r="11">
          <cell r="C11" t="str">
            <v>Allied UAW</v>
          </cell>
          <cell r="D11" t="str">
            <v>S15</v>
          </cell>
          <cell r="E11" t="str">
            <v>S15VIS</v>
          </cell>
          <cell r="F11">
            <v>0</v>
          </cell>
          <cell r="G11">
            <v>0</v>
          </cell>
          <cell r="H11">
            <v>0</v>
          </cell>
          <cell r="I11">
            <v>0</v>
          </cell>
          <cell r="J11">
            <v>0</v>
          </cell>
          <cell r="K11">
            <v>0</v>
          </cell>
          <cell r="L11">
            <v>0</v>
          </cell>
        </row>
        <row r="12">
          <cell r="C12" t="str">
            <v>American Title Services</v>
          </cell>
          <cell r="D12" t="str">
            <v>S16</v>
          </cell>
          <cell r="E12" t="str">
            <v>S16DEN/VIS</v>
          </cell>
          <cell r="F12">
            <v>0</v>
          </cell>
          <cell r="G12">
            <v>0</v>
          </cell>
          <cell r="H12">
            <v>0</v>
          </cell>
          <cell r="I12">
            <v>0</v>
          </cell>
          <cell r="J12">
            <v>0</v>
          </cell>
          <cell r="K12">
            <v>0</v>
          </cell>
          <cell r="L12">
            <v>0</v>
          </cell>
        </row>
        <row r="13">
          <cell r="C13" t="str">
            <v>Barrow County Schools</v>
          </cell>
          <cell r="D13" t="str">
            <v>S18</v>
          </cell>
          <cell r="E13" t="str">
            <v>S18DEN</v>
          </cell>
          <cell r="F13">
            <v>0</v>
          </cell>
          <cell r="G13">
            <v>0</v>
          </cell>
          <cell r="H13">
            <v>0</v>
          </cell>
          <cell r="I13">
            <v>0</v>
          </cell>
          <cell r="J13">
            <v>0</v>
          </cell>
          <cell r="K13">
            <v>0</v>
          </cell>
          <cell r="L13">
            <v>0</v>
          </cell>
        </row>
        <row r="14">
          <cell r="C14" t="str">
            <v>Barrow County Schools</v>
          </cell>
          <cell r="D14" t="str">
            <v>S18</v>
          </cell>
          <cell r="E14" t="str">
            <v>S18DEN</v>
          </cell>
          <cell r="F14">
            <v>0</v>
          </cell>
          <cell r="G14">
            <v>0</v>
          </cell>
          <cell r="H14">
            <v>0</v>
          </cell>
          <cell r="I14">
            <v>0</v>
          </cell>
          <cell r="J14">
            <v>0</v>
          </cell>
          <cell r="K14">
            <v>0</v>
          </cell>
          <cell r="L14">
            <v>0</v>
          </cell>
        </row>
        <row r="15">
          <cell r="C15" t="str">
            <v>Ben Hill CO Board of Education</v>
          </cell>
          <cell r="D15" t="str">
            <v>S51</v>
          </cell>
          <cell r="E15" t="str">
            <v>S51DEN</v>
          </cell>
          <cell r="F15">
            <v>38</v>
          </cell>
          <cell r="G15">
            <v>33</v>
          </cell>
          <cell r="H15">
            <v>26</v>
          </cell>
          <cell r="I15">
            <v>47</v>
          </cell>
          <cell r="J15">
            <v>101</v>
          </cell>
          <cell r="K15">
            <v>34522</v>
          </cell>
          <cell r="L15">
            <v>20298.5</v>
          </cell>
        </row>
        <row r="16">
          <cell r="C16" t="str">
            <v>Ben Hill CO Board of Education</v>
          </cell>
          <cell r="D16" t="str">
            <v>S51</v>
          </cell>
          <cell r="E16" t="str">
            <v>S51DEN</v>
          </cell>
          <cell r="F16">
            <v>54</v>
          </cell>
          <cell r="G16">
            <v>18</v>
          </cell>
          <cell r="H16">
            <v>15</v>
          </cell>
          <cell r="I16">
            <v>30</v>
          </cell>
          <cell r="J16">
            <v>47</v>
          </cell>
          <cell r="K16">
            <v>12321</v>
          </cell>
          <cell r="L16">
            <v>5666</v>
          </cell>
        </row>
        <row r="17">
          <cell r="C17" t="str">
            <v>Ben Hill CO Board of Education</v>
          </cell>
          <cell r="D17" t="str">
            <v>S51</v>
          </cell>
          <cell r="E17" t="str">
            <v>S51VIS</v>
          </cell>
          <cell r="F17">
            <v>95</v>
          </cell>
          <cell r="G17">
            <v>39</v>
          </cell>
          <cell r="H17">
            <v>20</v>
          </cell>
          <cell r="I17">
            <v>48</v>
          </cell>
          <cell r="J17">
            <v>21</v>
          </cell>
          <cell r="K17">
            <v>3959.3</v>
          </cell>
          <cell r="L17">
            <v>2302.65</v>
          </cell>
        </row>
        <row r="18">
          <cell r="C18" t="str">
            <v>Bentonville Public Schools</v>
          </cell>
          <cell r="D18" t="str">
            <v>S66</v>
          </cell>
          <cell r="E18" t="str">
            <v>S66DEN</v>
          </cell>
          <cell r="F18">
            <v>168</v>
          </cell>
          <cell r="G18">
            <v>66</v>
          </cell>
          <cell r="H18">
            <v>60</v>
          </cell>
          <cell r="I18">
            <v>94</v>
          </cell>
          <cell r="J18">
            <v>81</v>
          </cell>
          <cell r="K18">
            <v>25173.07</v>
          </cell>
          <cell r="L18">
            <v>17959.47</v>
          </cell>
        </row>
        <row r="19">
          <cell r="C19" t="str">
            <v>Bentonville Public Schools</v>
          </cell>
          <cell r="D19" t="str">
            <v>S66</v>
          </cell>
          <cell r="E19" t="str">
            <v>S66DEN</v>
          </cell>
          <cell r="F19">
            <v>156</v>
          </cell>
          <cell r="G19">
            <v>58</v>
          </cell>
          <cell r="H19">
            <v>19</v>
          </cell>
          <cell r="I19">
            <v>42</v>
          </cell>
          <cell r="J19">
            <v>35</v>
          </cell>
          <cell r="K19">
            <v>11574</v>
          </cell>
          <cell r="L19">
            <v>6862</v>
          </cell>
        </row>
        <row r="20">
          <cell r="C20" t="str">
            <v>Calhoun City Schools</v>
          </cell>
          <cell r="D20" t="str">
            <v>S19</v>
          </cell>
          <cell r="E20" t="str">
            <v>S19DEN</v>
          </cell>
          <cell r="F20">
            <v>0</v>
          </cell>
          <cell r="G20">
            <v>0</v>
          </cell>
          <cell r="H20">
            <v>0</v>
          </cell>
          <cell r="I20">
            <v>0</v>
          </cell>
          <cell r="J20">
            <v>0</v>
          </cell>
          <cell r="K20">
            <v>0</v>
          </cell>
          <cell r="L20">
            <v>0</v>
          </cell>
        </row>
        <row r="21">
          <cell r="C21" t="str">
            <v>Church of the Apostles</v>
          </cell>
          <cell r="D21" t="str">
            <v>S20</v>
          </cell>
          <cell r="E21" t="str">
            <v>S20DEN</v>
          </cell>
          <cell r="F21">
            <v>22</v>
          </cell>
          <cell r="G21">
            <v>16</v>
          </cell>
          <cell r="H21">
            <v>3</v>
          </cell>
          <cell r="I21">
            <v>22</v>
          </cell>
          <cell r="J21">
            <v>27</v>
          </cell>
          <cell r="K21">
            <v>11284</v>
          </cell>
          <cell r="L21">
            <v>6853</v>
          </cell>
        </row>
        <row r="22">
          <cell r="C22" t="str">
            <v>Church of the Apostles</v>
          </cell>
          <cell r="D22" t="str">
            <v>S20</v>
          </cell>
          <cell r="E22" t="str">
            <v>S20VIS</v>
          </cell>
          <cell r="F22">
            <v>22</v>
          </cell>
          <cell r="G22">
            <v>16</v>
          </cell>
          <cell r="H22">
            <v>3</v>
          </cell>
          <cell r="I22">
            <v>22</v>
          </cell>
          <cell r="J22">
            <v>7</v>
          </cell>
          <cell r="K22">
            <v>2252.69</v>
          </cell>
          <cell r="L22">
            <v>1026.3699999999999</v>
          </cell>
        </row>
        <row r="23">
          <cell r="C23" t="str">
            <v>Citizens &amp; Northern Bank</v>
          </cell>
          <cell r="D23" t="str">
            <v>S94</v>
          </cell>
          <cell r="E23" t="str">
            <v>S94VIS</v>
          </cell>
          <cell r="F23">
            <v>0</v>
          </cell>
          <cell r="G23">
            <v>0</v>
          </cell>
          <cell r="H23">
            <v>0</v>
          </cell>
          <cell r="I23">
            <v>0</v>
          </cell>
          <cell r="J23">
            <v>0</v>
          </cell>
          <cell r="K23">
            <v>0</v>
          </cell>
          <cell r="L23">
            <v>0</v>
          </cell>
        </row>
        <row r="24">
          <cell r="C24" t="str">
            <v>Cummins Power South</v>
          </cell>
          <cell r="D24" t="str">
            <v>S92</v>
          </cell>
          <cell r="E24" t="str">
            <v>S92DEN</v>
          </cell>
          <cell r="F24">
            <v>0</v>
          </cell>
          <cell r="G24">
            <v>0</v>
          </cell>
          <cell r="H24">
            <v>0</v>
          </cell>
          <cell r="I24">
            <v>0</v>
          </cell>
          <cell r="J24">
            <v>0</v>
          </cell>
          <cell r="K24">
            <v>0</v>
          </cell>
          <cell r="L24">
            <v>0</v>
          </cell>
        </row>
        <row r="25">
          <cell r="C25" t="str">
            <v>Dawson County Schools</v>
          </cell>
          <cell r="D25" t="str">
            <v>S21</v>
          </cell>
          <cell r="E25" t="str">
            <v>S21DEN</v>
          </cell>
          <cell r="F25">
            <v>79</v>
          </cell>
          <cell r="G25">
            <v>34</v>
          </cell>
          <cell r="H25">
            <v>25</v>
          </cell>
          <cell r="I25">
            <v>67</v>
          </cell>
          <cell r="J25">
            <v>141</v>
          </cell>
          <cell r="K25">
            <v>46093.72</v>
          </cell>
          <cell r="L25">
            <v>25602.12</v>
          </cell>
        </row>
        <row r="26">
          <cell r="C26" t="str">
            <v>Dawson County Schools</v>
          </cell>
          <cell r="D26" t="str">
            <v>S21</v>
          </cell>
          <cell r="E26" t="str">
            <v>S21DEN</v>
          </cell>
          <cell r="F26">
            <v>17</v>
          </cell>
          <cell r="G26">
            <v>13</v>
          </cell>
          <cell r="H26">
            <v>14</v>
          </cell>
          <cell r="I26">
            <v>14</v>
          </cell>
          <cell r="J26">
            <v>19</v>
          </cell>
          <cell r="K26">
            <v>6376</v>
          </cell>
          <cell r="L26">
            <v>2768</v>
          </cell>
        </row>
        <row r="27">
          <cell r="C27" t="str">
            <v>Dekalb Office</v>
          </cell>
          <cell r="D27" t="str">
            <v>S67</v>
          </cell>
          <cell r="E27" t="str">
            <v>S67DEN</v>
          </cell>
          <cell r="F27">
            <v>17</v>
          </cell>
          <cell r="G27">
            <v>7</v>
          </cell>
          <cell r="H27">
            <v>6</v>
          </cell>
          <cell r="I27">
            <v>6</v>
          </cell>
          <cell r="J27">
            <v>9</v>
          </cell>
          <cell r="K27">
            <v>3195.5</v>
          </cell>
          <cell r="L27">
            <v>2297.75</v>
          </cell>
        </row>
        <row r="28">
          <cell r="C28" t="str">
            <v>Dekalb Office</v>
          </cell>
          <cell r="D28" t="str">
            <v>S67</v>
          </cell>
          <cell r="E28" t="str">
            <v>S67DEN</v>
          </cell>
          <cell r="F28">
            <v>19</v>
          </cell>
          <cell r="G28">
            <v>10</v>
          </cell>
          <cell r="H28">
            <v>2</v>
          </cell>
          <cell r="I28">
            <v>11</v>
          </cell>
          <cell r="J28">
            <v>2</v>
          </cell>
          <cell r="K28">
            <v>1280</v>
          </cell>
          <cell r="L28">
            <v>702.5</v>
          </cell>
        </row>
        <row r="29">
          <cell r="C29" t="str">
            <v>Dekalb Office</v>
          </cell>
          <cell r="D29" t="str">
            <v>S67</v>
          </cell>
          <cell r="E29" t="str">
            <v>S67VIS</v>
          </cell>
          <cell r="F29">
            <v>23</v>
          </cell>
          <cell r="G29">
            <v>15</v>
          </cell>
          <cell r="H29">
            <v>6</v>
          </cell>
          <cell r="I29">
            <v>15</v>
          </cell>
          <cell r="J29">
            <v>5</v>
          </cell>
          <cell r="K29">
            <v>921.9</v>
          </cell>
          <cell r="L29">
            <v>384</v>
          </cell>
        </row>
        <row r="30">
          <cell r="C30" t="str">
            <v>Dougherty County Schools</v>
          </cell>
          <cell r="D30" t="str">
            <v>S22</v>
          </cell>
          <cell r="E30" t="str">
            <v>S22DEN</v>
          </cell>
          <cell r="F30">
            <v>634</v>
          </cell>
          <cell r="G30">
            <v>0</v>
          </cell>
          <cell r="H30">
            <v>0</v>
          </cell>
          <cell r="I30">
            <v>653</v>
          </cell>
          <cell r="J30">
            <v>428</v>
          </cell>
          <cell r="K30">
            <v>111764.58</v>
          </cell>
          <cell r="L30">
            <v>65452.83</v>
          </cell>
        </row>
        <row r="31">
          <cell r="C31" t="str">
            <v>Dougherty County Schools</v>
          </cell>
          <cell r="D31" t="str">
            <v>S22</v>
          </cell>
          <cell r="E31" t="str">
            <v>S22DEN</v>
          </cell>
          <cell r="F31">
            <v>195</v>
          </cell>
          <cell r="G31">
            <v>0</v>
          </cell>
          <cell r="H31">
            <v>0</v>
          </cell>
          <cell r="I31">
            <v>136</v>
          </cell>
          <cell r="J31">
            <v>75</v>
          </cell>
          <cell r="K31">
            <v>15669</v>
          </cell>
          <cell r="L31">
            <v>8936.5</v>
          </cell>
        </row>
        <row r="32">
          <cell r="C32" t="str">
            <v>EMS Technologies</v>
          </cell>
          <cell r="D32" t="str">
            <v>S68</v>
          </cell>
          <cell r="E32" t="str">
            <v>S68DEN</v>
          </cell>
          <cell r="F32">
            <v>120</v>
          </cell>
          <cell r="G32">
            <v>134</v>
          </cell>
          <cell r="H32">
            <v>0</v>
          </cell>
          <cell r="I32">
            <v>182</v>
          </cell>
          <cell r="J32">
            <v>90</v>
          </cell>
          <cell r="K32">
            <v>38638</v>
          </cell>
          <cell r="L32">
            <v>24923.9</v>
          </cell>
        </row>
        <row r="33">
          <cell r="C33" t="str">
            <v>EMS Technologies</v>
          </cell>
          <cell r="D33" t="str">
            <v>S68</v>
          </cell>
          <cell r="E33" t="str">
            <v>S68DEN</v>
          </cell>
          <cell r="F33">
            <v>82</v>
          </cell>
          <cell r="G33">
            <v>40</v>
          </cell>
          <cell r="H33">
            <v>0</v>
          </cell>
          <cell r="I33">
            <v>42</v>
          </cell>
          <cell r="J33">
            <v>14</v>
          </cell>
          <cell r="K33">
            <v>3547</v>
          </cell>
          <cell r="L33">
            <v>2759.5</v>
          </cell>
        </row>
        <row r="34">
          <cell r="C34" t="str">
            <v>Episcopal Diocese of Rochester</v>
          </cell>
          <cell r="D34" t="str">
            <v>S72</v>
          </cell>
          <cell r="E34" t="str">
            <v>S72DEN</v>
          </cell>
          <cell r="F34">
            <v>33</v>
          </cell>
          <cell r="G34">
            <v>41</v>
          </cell>
          <cell r="H34">
            <v>0</v>
          </cell>
          <cell r="I34">
            <v>15</v>
          </cell>
          <cell r="J34">
            <v>16</v>
          </cell>
          <cell r="K34">
            <v>4240.3999999999996</v>
          </cell>
          <cell r="L34">
            <v>2674.7</v>
          </cell>
        </row>
        <row r="35">
          <cell r="C35" t="str">
            <v>Fayetteville Public Schools</v>
          </cell>
          <cell r="D35" t="str">
            <v>S26</v>
          </cell>
          <cell r="E35" t="str">
            <v>S26VIS</v>
          </cell>
          <cell r="F35">
            <v>287</v>
          </cell>
          <cell r="G35">
            <v>147</v>
          </cell>
          <cell r="H35">
            <v>50</v>
          </cell>
          <cell r="I35">
            <v>122</v>
          </cell>
          <cell r="J35">
            <v>133</v>
          </cell>
          <cell r="K35">
            <v>21339.03</v>
          </cell>
          <cell r="L35">
            <v>11997.5</v>
          </cell>
        </row>
        <row r="36">
          <cell r="C36" t="str">
            <v>First Consulting</v>
          </cell>
          <cell r="D36" t="str">
            <v>S69</v>
          </cell>
          <cell r="E36" t="str">
            <v>S69DEN</v>
          </cell>
          <cell r="F36">
            <v>23</v>
          </cell>
          <cell r="G36">
            <v>0</v>
          </cell>
          <cell r="H36">
            <v>0</v>
          </cell>
          <cell r="I36">
            <v>19</v>
          </cell>
          <cell r="J36">
            <v>6</v>
          </cell>
          <cell r="K36">
            <v>1642</v>
          </cell>
          <cell r="L36">
            <v>1173</v>
          </cell>
        </row>
        <row r="37">
          <cell r="C37" t="str">
            <v>Florida Oral &amp; Facial</v>
          </cell>
          <cell r="D37" t="str">
            <v>S27</v>
          </cell>
          <cell r="E37" t="str">
            <v>S27DEN</v>
          </cell>
          <cell r="F37">
            <v>0</v>
          </cell>
          <cell r="G37">
            <v>0</v>
          </cell>
          <cell r="H37">
            <v>0</v>
          </cell>
          <cell r="I37">
            <v>0</v>
          </cell>
          <cell r="J37">
            <v>0</v>
          </cell>
          <cell r="K37">
            <v>0</v>
          </cell>
          <cell r="L37">
            <v>0</v>
          </cell>
        </row>
        <row r="38">
          <cell r="C38" t="str">
            <v>Florida Rural Legal</v>
          </cell>
          <cell r="D38" t="str">
            <v>S52</v>
          </cell>
          <cell r="E38" t="str">
            <v>S52DEN</v>
          </cell>
          <cell r="F38">
            <v>34</v>
          </cell>
          <cell r="G38">
            <v>0</v>
          </cell>
          <cell r="H38">
            <v>0</v>
          </cell>
          <cell r="I38">
            <v>18</v>
          </cell>
          <cell r="J38">
            <v>29</v>
          </cell>
          <cell r="K38">
            <v>8156</v>
          </cell>
          <cell r="L38">
            <v>4633.5</v>
          </cell>
        </row>
        <row r="39">
          <cell r="C39" t="str">
            <v>Florida Southern College</v>
          </cell>
          <cell r="D39" t="str">
            <v>S53</v>
          </cell>
          <cell r="E39" t="str">
            <v>S53DENVIS</v>
          </cell>
          <cell r="F39">
            <v>129</v>
          </cell>
          <cell r="G39">
            <v>66</v>
          </cell>
          <cell r="H39">
            <v>0</v>
          </cell>
          <cell r="I39">
            <v>43</v>
          </cell>
          <cell r="J39">
            <v>78</v>
          </cell>
          <cell r="K39">
            <v>24545.57</v>
          </cell>
          <cell r="L39">
            <v>12451.28</v>
          </cell>
        </row>
        <row r="40">
          <cell r="C40" t="str">
            <v>Foodlink</v>
          </cell>
          <cell r="D40" t="str">
            <v>S28</v>
          </cell>
          <cell r="E40" t="str">
            <v>S28DEN</v>
          </cell>
          <cell r="F40">
            <v>29</v>
          </cell>
          <cell r="G40">
            <v>0</v>
          </cell>
          <cell r="H40">
            <v>0</v>
          </cell>
          <cell r="I40">
            <v>8</v>
          </cell>
          <cell r="J40">
            <v>4</v>
          </cell>
          <cell r="K40">
            <v>545</v>
          </cell>
          <cell r="L40">
            <v>457</v>
          </cell>
        </row>
        <row r="41">
          <cell r="C41" t="str">
            <v>Gainesville City Schools</v>
          </cell>
          <cell r="D41" t="str">
            <v>S29</v>
          </cell>
          <cell r="E41" t="str">
            <v>S29DEN</v>
          </cell>
          <cell r="F41">
            <v>491</v>
          </cell>
          <cell r="G41">
            <v>142</v>
          </cell>
          <cell r="H41">
            <v>0</v>
          </cell>
          <cell r="I41">
            <v>204</v>
          </cell>
          <cell r="J41">
            <v>287</v>
          </cell>
          <cell r="K41">
            <v>77897.77</v>
          </cell>
          <cell r="L41">
            <v>49547.14</v>
          </cell>
        </row>
        <row r="42">
          <cell r="C42" t="str">
            <v>Five Star Sports Calendar, LLC.</v>
          </cell>
          <cell r="D42" t="str">
            <v>S73</v>
          </cell>
          <cell r="E42" t="str">
            <v>S73DEN</v>
          </cell>
          <cell r="F42">
            <v>43</v>
          </cell>
          <cell r="G42">
            <v>6</v>
          </cell>
          <cell r="H42">
            <v>0</v>
          </cell>
          <cell r="I42">
            <v>7</v>
          </cell>
          <cell r="J42">
            <v>1</v>
          </cell>
          <cell r="K42">
            <v>168</v>
          </cell>
          <cell r="L42">
            <v>159</v>
          </cell>
        </row>
        <row r="43">
          <cell r="C43" t="str">
            <v xml:space="preserve">Gilmer County Schools </v>
          </cell>
          <cell r="D43" t="str">
            <v>S30</v>
          </cell>
          <cell r="E43" t="str">
            <v>S30DEN/VIS</v>
          </cell>
          <cell r="F43">
            <v>0</v>
          </cell>
          <cell r="G43">
            <v>0</v>
          </cell>
          <cell r="H43">
            <v>0</v>
          </cell>
          <cell r="I43">
            <v>0</v>
          </cell>
          <cell r="J43">
            <v>0</v>
          </cell>
          <cell r="K43">
            <v>0</v>
          </cell>
          <cell r="L43">
            <v>0</v>
          </cell>
        </row>
        <row r="44">
          <cell r="C44" t="str">
            <v>GL&amp;V USA</v>
          </cell>
          <cell r="D44" t="str">
            <v>S54</v>
          </cell>
          <cell r="E44" t="str">
            <v>S54DEN</v>
          </cell>
          <cell r="F44">
            <v>145</v>
          </cell>
          <cell r="G44">
            <v>167</v>
          </cell>
          <cell r="H44">
            <v>40</v>
          </cell>
          <cell r="I44">
            <v>216</v>
          </cell>
          <cell r="J44">
            <v>266</v>
          </cell>
          <cell r="K44">
            <v>100527.27</v>
          </cell>
          <cell r="L44">
            <v>66205.78</v>
          </cell>
        </row>
        <row r="45">
          <cell r="C45" t="str">
            <v>GL&amp;V USA</v>
          </cell>
          <cell r="D45" t="str">
            <v>S54</v>
          </cell>
          <cell r="E45" t="str">
            <v>S54VIS</v>
          </cell>
          <cell r="F45">
            <v>138</v>
          </cell>
          <cell r="G45">
            <v>171</v>
          </cell>
          <cell r="H45">
            <v>39</v>
          </cell>
          <cell r="I45">
            <v>193</v>
          </cell>
          <cell r="J45">
            <v>100</v>
          </cell>
          <cell r="K45">
            <v>17386.560000000001</v>
          </cell>
          <cell r="L45">
            <v>10880.06</v>
          </cell>
        </row>
        <row r="46">
          <cell r="C46" t="str">
            <v>Goodwill Inudustries</v>
          </cell>
          <cell r="D46" t="str">
            <v>S90</v>
          </cell>
          <cell r="E46" t="str">
            <v>S90DEN</v>
          </cell>
          <cell r="F46">
            <v>0</v>
          </cell>
          <cell r="G46">
            <v>0</v>
          </cell>
          <cell r="H46">
            <v>0</v>
          </cell>
          <cell r="I46">
            <v>0</v>
          </cell>
          <cell r="J46">
            <v>0</v>
          </cell>
          <cell r="K46">
            <v>0</v>
          </cell>
          <cell r="L46">
            <v>0</v>
          </cell>
        </row>
        <row r="47">
          <cell r="C47" t="str">
            <v>Gordon County Schools</v>
          </cell>
          <cell r="D47" t="str">
            <v>S31</v>
          </cell>
          <cell r="E47" t="str">
            <v>S31DEN</v>
          </cell>
          <cell r="F47">
            <v>0</v>
          </cell>
          <cell r="G47">
            <v>0</v>
          </cell>
          <cell r="H47">
            <v>0</v>
          </cell>
          <cell r="I47">
            <v>0</v>
          </cell>
          <cell r="J47">
            <v>0</v>
          </cell>
          <cell r="K47">
            <v>0</v>
          </cell>
          <cell r="L47">
            <v>0</v>
          </cell>
        </row>
        <row r="48">
          <cell r="C48" t="str">
            <v xml:space="preserve">Halifax Staffing </v>
          </cell>
          <cell r="D48" t="str">
            <v>S60</v>
          </cell>
          <cell r="E48" t="str">
            <v>S60DEN</v>
          </cell>
          <cell r="F48">
            <v>1740</v>
          </cell>
          <cell r="G48">
            <v>0</v>
          </cell>
          <cell r="H48">
            <v>0</v>
          </cell>
          <cell r="I48">
            <v>1141</v>
          </cell>
          <cell r="J48">
            <v>189</v>
          </cell>
          <cell r="K48">
            <v>61702.32</v>
          </cell>
          <cell r="L48">
            <v>44541.33</v>
          </cell>
        </row>
        <row r="49">
          <cell r="C49" t="str">
            <v xml:space="preserve">Halifax Staffing </v>
          </cell>
          <cell r="D49" t="str">
            <v>S60</v>
          </cell>
          <cell r="E49" t="str">
            <v>S60DEN</v>
          </cell>
          <cell r="F49">
            <v>2</v>
          </cell>
          <cell r="G49">
            <v>0</v>
          </cell>
          <cell r="H49">
            <v>0</v>
          </cell>
          <cell r="I49">
            <v>14</v>
          </cell>
          <cell r="J49">
            <v>4</v>
          </cell>
          <cell r="K49">
            <v>1828</v>
          </cell>
          <cell r="L49">
            <v>1728</v>
          </cell>
        </row>
        <row r="50">
          <cell r="C50" t="str">
            <v>Heard County Schools</v>
          </cell>
          <cell r="D50" t="str">
            <v>S32</v>
          </cell>
          <cell r="E50" t="str">
            <v>S32DEN</v>
          </cell>
          <cell r="F50">
            <v>0</v>
          </cell>
          <cell r="G50">
            <v>0</v>
          </cell>
          <cell r="H50">
            <v>0</v>
          </cell>
          <cell r="I50">
            <v>0</v>
          </cell>
          <cell r="J50">
            <v>0</v>
          </cell>
          <cell r="K50">
            <v>0</v>
          </cell>
          <cell r="L50">
            <v>0</v>
          </cell>
        </row>
        <row r="51">
          <cell r="C51" t="str">
            <v>Help A Child Smile</v>
          </cell>
          <cell r="D51" t="str">
            <v>S48</v>
          </cell>
          <cell r="E51" t="str">
            <v>S48DEN</v>
          </cell>
          <cell r="F51">
            <v>15</v>
          </cell>
          <cell r="G51">
            <v>2</v>
          </cell>
          <cell r="H51">
            <v>0</v>
          </cell>
          <cell r="I51">
            <v>7</v>
          </cell>
          <cell r="J51">
            <v>7</v>
          </cell>
          <cell r="K51">
            <v>1065</v>
          </cell>
          <cell r="L51">
            <v>991</v>
          </cell>
        </row>
        <row r="52">
          <cell r="C52" t="str">
            <v>Help A Child Smile</v>
          </cell>
          <cell r="D52" t="str">
            <v>S48</v>
          </cell>
          <cell r="E52" t="str">
            <v>S48DEN</v>
          </cell>
          <cell r="F52">
            <v>5</v>
          </cell>
          <cell r="G52">
            <v>2</v>
          </cell>
          <cell r="H52">
            <v>0</v>
          </cell>
          <cell r="I52">
            <v>4</v>
          </cell>
          <cell r="J52">
            <v>1</v>
          </cell>
          <cell r="K52">
            <v>110</v>
          </cell>
          <cell r="L52">
            <v>105</v>
          </cell>
        </row>
        <row r="53">
          <cell r="C53" t="str">
            <v>IES Systems</v>
          </cell>
          <cell r="D53" t="str">
            <v>S33</v>
          </cell>
          <cell r="E53" t="str">
            <v>S33DEN</v>
          </cell>
          <cell r="F53">
            <v>0</v>
          </cell>
          <cell r="G53">
            <v>0</v>
          </cell>
          <cell r="H53">
            <v>0</v>
          </cell>
          <cell r="I53">
            <v>0</v>
          </cell>
          <cell r="J53">
            <v>0</v>
          </cell>
          <cell r="K53">
            <v>0</v>
          </cell>
          <cell r="L53">
            <v>0</v>
          </cell>
        </row>
        <row r="54">
          <cell r="C54" t="str">
            <v>IES Systems</v>
          </cell>
          <cell r="D54" t="str">
            <v>S33</v>
          </cell>
          <cell r="E54" t="str">
            <v>S33VIS</v>
          </cell>
          <cell r="F54">
            <v>0</v>
          </cell>
          <cell r="G54">
            <v>0</v>
          </cell>
          <cell r="H54">
            <v>0</v>
          </cell>
          <cell r="I54">
            <v>0</v>
          </cell>
          <cell r="J54">
            <v>0</v>
          </cell>
          <cell r="K54">
            <v>0</v>
          </cell>
          <cell r="L54">
            <v>0</v>
          </cell>
        </row>
        <row r="55">
          <cell r="C55" t="str">
            <v>Intechra Group LLC</v>
          </cell>
          <cell r="D55" t="str">
            <v>S85</v>
          </cell>
          <cell r="E55" t="str">
            <v>S85DEN</v>
          </cell>
          <cell r="F55">
            <v>0</v>
          </cell>
          <cell r="G55">
            <v>0</v>
          </cell>
          <cell r="H55">
            <v>0</v>
          </cell>
          <cell r="I55">
            <v>0</v>
          </cell>
          <cell r="J55">
            <v>0</v>
          </cell>
          <cell r="K55">
            <v>0</v>
          </cell>
          <cell r="L55">
            <v>0</v>
          </cell>
        </row>
        <row r="56">
          <cell r="C56" t="str">
            <v>Intechra Group LLC</v>
          </cell>
          <cell r="D56" t="str">
            <v>S85</v>
          </cell>
          <cell r="E56" t="str">
            <v>S85VIS</v>
          </cell>
          <cell r="F56">
            <v>0</v>
          </cell>
          <cell r="G56">
            <v>0</v>
          </cell>
          <cell r="H56">
            <v>0</v>
          </cell>
          <cell r="I56">
            <v>0</v>
          </cell>
          <cell r="J56">
            <v>0</v>
          </cell>
          <cell r="K56">
            <v>0</v>
          </cell>
          <cell r="L56">
            <v>0</v>
          </cell>
        </row>
        <row r="57">
          <cell r="C57" t="str">
            <v>John's Community Hospital</v>
          </cell>
          <cell r="D57" t="str">
            <v>S58</v>
          </cell>
          <cell r="E57" t="str">
            <v>S58DEN</v>
          </cell>
          <cell r="F57">
            <v>0</v>
          </cell>
          <cell r="G57">
            <v>0</v>
          </cell>
          <cell r="H57">
            <v>0</v>
          </cell>
          <cell r="I57">
            <v>0</v>
          </cell>
          <cell r="J57">
            <v>0</v>
          </cell>
          <cell r="K57">
            <v>0</v>
          </cell>
          <cell r="L57">
            <v>0</v>
          </cell>
        </row>
        <row r="58">
          <cell r="C58" t="str">
            <v>John's Community Hospital</v>
          </cell>
          <cell r="D58" t="str">
            <v>S58</v>
          </cell>
          <cell r="E58" t="str">
            <v>S58DEN</v>
          </cell>
          <cell r="F58">
            <v>0</v>
          </cell>
          <cell r="G58">
            <v>0</v>
          </cell>
          <cell r="H58">
            <v>0</v>
          </cell>
          <cell r="I58">
            <v>0</v>
          </cell>
          <cell r="J58">
            <v>0</v>
          </cell>
          <cell r="K58">
            <v>0</v>
          </cell>
          <cell r="L58">
            <v>0</v>
          </cell>
        </row>
        <row r="59">
          <cell r="C59" t="str">
            <v>John's Creek Baptist Church</v>
          </cell>
          <cell r="D59" t="str">
            <v>S36</v>
          </cell>
          <cell r="E59" t="str">
            <v>S36DEN</v>
          </cell>
          <cell r="F59">
            <v>16</v>
          </cell>
          <cell r="G59">
            <v>4</v>
          </cell>
          <cell r="H59">
            <v>0</v>
          </cell>
          <cell r="I59">
            <v>2</v>
          </cell>
          <cell r="J59">
            <v>5</v>
          </cell>
          <cell r="K59">
            <v>929</v>
          </cell>
          <cell r="L59">
            <v>604.1</v>
          </cell>
        </row>
        <row r="60">
          <cell r="C60" t="str">
            <v>Lanier Upshaw</v>
          </cell>
          <cell r="D60" t="str">
            <v>S45</v>
          </cell>
          <cell r="E60" t="str">
            <v>S45DEN</v>
          </cell>
          <cell r="F60">
            <v>33</v>
          </cell>
          <cell r="G60">
            <v>18</v>
          </cell>
          <cell r="H60">
            <v>11</v>
          </cell>
          <cell r="I60">
            <v>12</v>
          </cell>
          <cell r="J60">
            <v>32</v>
          </cell>
          <cell r="K60">
            <v>8819.06</v>
          </cell>
          <cell r="L60">
            <v>2946.38</v>
          </cell>
        </row>
        <row r="61">
          <cell r="C61" t="str">
            <v>Loudon County Board of Education</v>
          </cell>
          <cell r="D61" t="str">
            <v>S91</v>
          </cell>
          <cell r="E61" t="str">
            <v>S91DEN</v>
          </cell>
          <cell r="F61">
            <v>403</v>
          </cell>
          <cell r="G61">
            <v>0</v>
          </cell>
          <cell r="H61">
            <v>0</v>
          </cell>
          <cell r="I61">
            <v>235</v>
          </cell>
          <cell r="J61">
            <v>224</v>
          </cell>
          <cell r="K61">
            <v>45416</v>
          </cell>
          <cell r="L61">
            <v>25167</v>
          </cell>
        </row>
        <row r="62">
          <cell r="C62" t="str">
            <v>Loudon County Board of Education</v>
          </cell>
          <cell r="D62" t="str">
            <v>S91</v>
          </cell>
          <cell r="E62" t="str">
            <v>S91VIS</v>
          </cell>
          <cell r="F62">
            <v>0</v>
          </cell>
          <cell r="G62">
            <v>0</v>
          </cell>
          <cell r="H62">
            <v>0</v>
          </cell>
          <cell r="I62">
            <v>0</v>
          </cell>
          <cell r="J62">
            <v>0</v>
          </cell>
          <cell r="K62">
            <v>0</v>
          </cell>
          <cell r="L62">
            <v>0</v>
          </cell>
        </row>
        <row r="63">
          <cell r="C63" t="str">
            <v>Lowndes County Schools</v>
          </cell>
          <cell r="D63" t="str">
            <v>S65</v>
          </cell>
          <cell r="E63" t="str">
            <v>S65DEN</v>
          </cell>
          <cell r="F63">
            <v>200</v>
          </cell>
          <cell r="G63">
            <v>92</v>
          </cell>
          <cell r="H63">
            <v>67</v>
          </cell>
          <cell r="I63">
            <v>208</v>
          </cell>
          <cell r="J63">
            <v>114</v>
          </cell>
          <cell r="K63">
            <v>24278.81</v>
          </cell>
          <cell r="L63">
            <v>19789.490000000002</v>
          </cell>
        </row>
        <row r="64">
          <cell r="C64" t="str">
            <v>Lowndes County Schools</v>
          </cell>
          <cell r="D64" t="str">
            <v>S65</v>
          </cell>
          <cell r="E64" t="str">
            <v>S65DEN</v>
          </cell>
          <cell r="F64">
            <v>40</v>
          </cell>
          <cell r="G64">
            <v>40</v>
          </cell>
          <cell r="H64">
            <v>11</v>
          </cell>
          <cell r="I64">
            <v>46</v>
          </cell>
          <cell r="J64">
            <v>32</v>
          </cell>
          <cell r="K64">
            <v>3832</v>
          </cell>
          <cell r="L64">
            <v>1730.5</v>
          </cell>
        </row>
        <row r="65">
          <cell r="C65" t="str">
            <v>Manchester Community Health Center</v>
          </cell>
          <cell r="D65" t="str">
            <v>S37</v>
          </cell>
          <cell r="E65" t="str">
            <v>S37DEN</v>
          </cell>
          <cell r="F65">
            <v>0</v>
          </cell>
          <cell r="G65">
            <v>0</v>
          </cell>
          <cell r="H65">
            <v>0</v>
          </cell>
          <cell r="I65">
            <v>0</v>
          </cell>
          <cell r="J65">
            <v>0</v>
          </cell>
          <cell r="K65">
            <v>0</v>
          </cell>
          <cell r="L65">
            <v>0</v>
          </cell>
        </row>
        <row r="66">
          <cell r="C66" t="str">
            <v>MOMAR</v>
          </cell>
          <cell r="D66" t="str">
            <v>S59</v>
          </cell>
          <cell r="E66" t="str">
            <v>S59DENVIS</v>
          </cell>
          <cell r="F66">
            <v>0</v>
          </cell>
          <cell r="G66">
            <v>0</v>
          </cell>
          <cell r="H66">
            <v>0</v>
          </cell>
          <cell r="I66">
            <v>0</v>
          </cell>
          <cell r="J66">
            <v>0</v>
          </cell>
          <cell r="K66">
            <v>0</v>
          </cell>
          <cell r="L66">
            <v>0</v>
          </cell>
        </row>
        <row r="67">
          <cell r="C67" t="str">
            <v>Morgan County Schools</v>
          </cell>
          <cell r="D67" t="str">
            <v>S38</v>
          </cell>
          <cell r="E67" t="str">
            <v>S38DEN</v>
          </cell>
          <cell r="F67">
            <v>11</v>
          </cell>
          <cell r="G67">
            <v>20</v>
          </cell>
          <cell r="H67">
            <v>12</v>
          </cell>
          <cell r="I67">
            <v>20</v>
          </cell>
          <cell r="J67">
            <v>86</v>
          </cell>
          <cell r="K67">
            <v>27046</v>
          </cell>
          <cell r="L67">
            <v>15231.8</v>
          </cell>
        </row>
        <row r="68">
          <cell r="C68" t="str">
            <v>Morgan County Schools</v>
          </cell>
          <cell r="D68" t="str">
            <v>S38</v>
          </cell>
          <cell r="E68" t="str">
            <v>S38DEN</v>
          </cell>
          <cell r="F68">
            <v>88</v>
          </cell>
          <cell r="G68">
            <v>52</v>
          </cell>
          <cell r="H68">
            <v>20</v>
          </cell>
          <cell r="I68">
            <v>89</v>
          </cell>
          <cell r="J68">
            <v>86</v>
          </cell>
          <cell r="K68">
            <v>5734.5</v>
          </cell>
          <cell r="L68">
            <v>5042.7</v>
          </cell>
        </row>
        <row r="69">
          <cell r="C69" t="str">
            <v>North Cypress Medical Center</v>
          </cell>
          <cell r="D69" t="str">
            <v>S50</v>
          </cell>
          <cell r="E69" t="str">
            <v>S50DEN</v>
          </cell>
          <cell r="F69">
            <v>241</v>
          </cell>
          <cell r="G69">
            <v>61</v>
          </cell>
          <cell r="H69">
            <v>88</v>
          </cell>
          <cell r="I69">
            <v>96</v>
          </cell>
          <cell r="J69">
            <v>111</v>
          </cell>
          <cell r="K69">
            <v>36659.29</v>
          </cell>
          <cell r="L69">
            <v>25389.98</v>
          </cell>
        </row>
        <row r="70">
          <cell r="C70" t="str">
            <v>North Cypress Medical Center</v>
          </cell>
          <cell r="D70" t="str">
            <v>S50</v>
          </cell>
          <cell r="E70" t="str">
            <v>S50VIS</v>
          </cell>
          <cell r="F70">
            <v>189</v>
          </cell>
          <cell r="G70">
            <v>57</v>
          </cell>
          <cell r="H70">
            <v>52</v>
          </cell>
          <cell r="I70">
            <v>66</v>
          </cell>
          <cell r="J70">
            <v>45</v>
          </cell>
          <cell r="K70">
            <v>10675.59</v>
          </cell>
          <cell r="L70">
            <v>6221.85</v>
          </cell>
        </row>
        <row r="71">
          <cell r="C71" t="str">
            <v>Peck Shaffer &amp; Williams</v>
          </cell>
          <cell r="D71" t="str">
            <v>S70</v>
          </cell>
          <cell r="E71" t="str">
            <v>S70DEN</v>
          </cell>
          <cell r="F71">
            <v>3</v>
          </cell>
          <cell r="G71">
            <v>0</v>
          </cell>
          <cell r="H71">
            <v>7</v>
          </cell>
          <cell r="I71">
            <v>9</v>
          </cell>
          <cell r="J71">
            <v>12</v>
          </cell>
          <cell r="K71">
            <v>2567.9</v>
          </cell>
          <cell r="L71">
            <v>1016.95</v>
          </cell>
        </row>
        <row r="72">
          <cell r="C72" t="str">
            <v>Peck Shaffer &amp; Williams</v>
          </cell>
          <cell r="D72" t="str">
            <v>S70</v>
          </cell>
          <cell r="E72" t="str">
            <v>S70DEN</v>
          </cell>
          <cell r="F72">
            <v>20</v>
          </cell>
          <cell r="G72">
            <v>7</v>
          </cell>
          <cell r="H72">
            <v>1</v>
          </cell>
          <cell r="I72">
            <v>15</v>
          </cell>
          <cell r="J72">
            <v>6</v>
          </cell>
          <cell r="K72">
            <v>2034</v>
          </cell>
          <cell r="L72">
            <v>842</v>
          </cell>
        </row>
        <row r="73">
          <cell r="C73" t="str">
            <v>RH Long Motor Sales</v>
          </cell>
          <cell r="D73" t="str">
            <v>S93</v>
          </cell>
          <cell r="E73" t="str">
            <v>S93DEN</v>
          </cell>
          <cell r="F73">
            <v>0</v>
          </cell>
          <cell r="G73">
            <v>0</v>
          </cell>
          <cell r="H73">
            <v>0</v>
          </cell>
          <cell r="I73">
            <v>0</v>
          </cell>
          <cell r="J73">
            <v>0</v>
          </cell>
          <cell r="K73">
            <v>0</v>
          </cell>
          <cell r="L73">
            <v>0</v>
          </cell>
        </row>
        <row r="74">
          <cell r="C74" t="str">
            <v>Savannah-Chatham County Public Schools</v>
          </cell>
          <cell r="D74" t="str">
            <v>S40</v>
          </cell>
          <cell r="E74" t="str">
            <v>S40DEN</v>
          </cell>
          <cell r="F74">
            <v>725</v>
          </cell>
          <cell r="G74">
            <v>431</v>
          </cell>
          <cell r="H74">
            <v>0</v>
          </cell>
          <cell r="I74">
            <v>501</v>
          </cell>
          <cell r="J74">
            <v>519</v>
          </cell>
          <cell r="K74">
            <v>166169.29999999999</v>
          </cell>
          <cell r="L74">
            <v>93647.75</v>
          </cell>
        </row>
        <row r="75">
          <cell r="C75" t="str">
            <v>Savannah-Chatham County Public Schools</v>
          </cell>
          <cell r="D75" t="str">
            <v>S40</v>
          </cell>
          <cell r="E75" t="str">
            <v>S40DEN</v>
          </cell>
          <cell r="F75">
            <v>450</v>
          </cell>
          <cell r="G75">
            <v>175</v>
          </cell>
          <cell r="H75">
            <v>0</v>
          </cell>
          <cell r="I75">
            <v>193</v>
          </cell>
          <cell r="J75">
            <v>158</v>
          </cell>
          <cell r="K75">
            <v>30880</v>
          </cell>
          <cell r="L75">
            <v>18554.25</v>
          </cell>
        </row>
        <row r="76">
          <cell r="C76" t="str">
            <v>Textile Rubber &amp; Chemical</v>
          </cell>
          <cell r="D76" t="str">
            <v>S56</v>
          </cell>
          <cell r="E76" t="str">
            <v>S56DEN</v>
          </cell>
          <cell r="F76">
            <v>0</v>
          </cell>
          <cell r="G76">
            <v>0</v>
          </cell>
          <cell r="H76">
            <v>0</v>
          </cell>
          <cell r="I76">
            <v>0</v>
          </cell>
          <cell r="J76">
            <v>0</v>
          </cell>
          <cell r="K76">
            <v>0</v>
          </cell>
          <cell r="L76">
            <v>0</v>
          </cell>
        </row>
        <row r="77">
          <cell r="C77" t="str">
            <v>Textile Rubber &amp; Chemical</v>
          </cell>
          <cell r="D77" t="str">
            <v>S56</v>
          </cell>
          <cell r="E77" t="str">
            <v>S56DEN</v>
          </cell>
          <cell r="F77">
            <v>0</v>
          </cell>
          <cell r="G77">
            <v>0</v>
          </cell>
          <cell r="H77">
            <v>0</v>
          </cell>
          <cell r="I77">
            <v>0</v>
          </cell>
          <cell r="J77">
            <v>0</v>
          </cell>
          <cell r="K77">
            <v>0</v>
          </cell>
          <cell r="L77">
            <v>0</v>
          </cell>
        </row>
        <row r="78">
          <cell r="C78" t="str">
            <v>Universal Weather &amp; Aviation</v>
          </cell>
          <cell r="D78" t="str">
            <v>S49</v>
          </cell>
          <cell r="E78" t="str">
            <v>S49DEN</v>
          </cell>
          <cell r="F78">
            <v>374</v>
          </cell>
          <cell r="G78">
            <v>0</v>
          </cell>
          <cell r="H78">
            <v>0</v>
          </cell>
          <cell r="I78">
            <v>335</v>
          </cell>
          <cell r="J78">
            <v>218</v>
          </cell>
          <cell r="K78">
            <v>78248.509999999995</v>
          </cell>
          <cell r="L78">
            <v>53014.05</v>
          </cell>
        </row>
        <row r="79">
          <cell r="C79" t="str">
            <v>Ware County Schools</v>
          </cell>
          <cell r="D79" t="str">
            <v>S46</v>
          </cell>
          <cell r="E79" t="str">
            <v>S46DEN</v>
          </cell>
          <cell r="F79">
            <v>156</v>
          </cell>
          <cell r="G79">
            <v>0</v>
          </cell>
          <cell r="H79">
            <v>0</v>
          </cell>
          <cell r="I79">
            <v>255</v>
          </cell>
          <cell r="J79">
            <v>289</v>
          </cell>
          <cell r="K79">
            <v>73963.47</v>
          </cell>
          <cell r="L79">
            <v>43303.43</v>
          </cell>
        </row>
        <row r="80">
          <cell r="C80" t="str">
            <v>Ware County Schools</v>
          </cell>
          <cell r="D80" t="str">
            <v>S46</v>
          </cell>
          <cell r="E80" t="str">
            <v>S46DEN</v>
          </cell>
          <cell r="F80">
            <v>163</v>
          </cell>
          <cell r="G80">
            <v>0</v>
          </cell>
          <cell r="H80">
            <v>0</v>
          </cell>
          <cell r="I80">
            <v>210</v>
          </cell>
          <cell r="J80">
            <v>194</v>
          </cell>
          <cell r="K80">
            <v>42176.45</v>
          </cell>
          <cell r="L80">
            <v>24154.1</v>
          </cell>
        </row>
        <row r="81">
          <cell r="C81" t="str">
            <v>Ware County Schools</v>
          </cell>
          <cell r="D81" t="str">
            <v>S46</v>
          </cell>
          <cell r="E81" t="str">
            <v>S46VIS</v>
          </cell>
          <cell r="F81">
            <v>211</v>
          </cell>
          <cell r="G81">
            <v>0</v>
          </cell>
          <cell r="H81">
            <v>0</v>
          </cell>
          <cell r="I81">
            <v>285</v>
          </cell>
          <cell r="J81">
            <v>78</v>
          </cell>
          <cell r="K81">
            <v>18031.310000000001</v>
          </cell>
          <cell r="L81">
            <v>9580.2900000000009</v>
          </cell>
        </row>
        <row r="82">
          <cell r="C82" t="str">
            <v>Ware County Schools Retiree</v>
          </cell>
          <cell r="D82" t="str">
            <v>S46</v>
          </cell>
          <cell r="E82" t="str">
            <v>S46DEN</v>
          </cell>
          <cell r="F82">
            <v>65</v>
          </cell>
          <cell r="G82">
            <v>0</v>
          </cell>
          <cell r="H82">
            <v>0</v>
          </cell>
          <cell r="I82">
            <v>47</v>
          </cell>
          <cell r="J82">
            <v>20</v>
          </cell>
          <cell r="K82">
            <v>22149</v>
          </cell>
          <cell r="L82">
            <v>6609</v>
          </cell>
        </row>
        <row r="83">
          <cell r="C83" t="str">
            <v>Ware County Schools Retiree</v>
          </cell>
          <cell r="D83" t="str">
            <v>S46</v>
          </cell>
          <cell r="E83" t="str">
            <v>S46DEN</v>
          </cell>
          <cell r="F83">
            <v>58</v>
          </cell>
          <cell r="G83">
            <v>0</v>
          </cell>
          <cell r="H83">
            <v>0</v>
          </cell>
          <cell r="I83">
            <v>43</v>
          </cell>
          <cell r="J83">
            <v>14</v>
          </cell>
          <cell r="K83">
            <v>2339.6999999999998</v>
          </cell>
          <cell r="L83">
            <v>1600.85</v>
          </cell>
        </row>
        <row r="84">
          <cell r="C84" t="str">
            <v>Ware County Schools Retiree</v>
          </cell>
          <cell r="D84" t="str">
            <v>S46</v>
          </cell>
          <cell r="E84" t="str">
            <v>S46VIS</v>
          </cell>
          <cell r="F84">
            <v>94</v>
          </cell>
          <cell r="G84">
            <v>0</v>
          </cell>
          <cell r="H84">
            <v>0</v>
          </cell>
          <cell r="I84">
            <v>47</v>
          </cell>
          <cell r="J84">
            <v>5</v>
          </cell>
          <cell r="K84">
            <v>461</v>
          </cell>
          <cell r="L84">
            <v>230.5</v>
          </cell>
        </row>
        <row r="85">
          <cell r="C85" t="str">
            <v>William Bonnell</v>
          </cell>
          <cell r="D85" t="str">
            <v>S80</v>
          </cell>
          <cell r="E85" t="str">
            <v>S80DEN</v>
          </cell>
          <cell r="F85">
            <v>172</v>
          </cell>
          <cell r="G85">
            <v>127</v>
          </cell>
          <cell r="H85">
            <v>0</v>
          </cell>
          <cell r="I85">
            <v>161</v>
          </cell>
          <cell r="J85">
            <v>33</v>
          </cell>
          <cell r="K85">
            <v>6149.51</v>
          </cell>
          <cell r="L85">
            <v>4978.75</v>
          </cell>
        </row>
        <row r="86">
          <cell r="C86" t="str">
            <v>William Bonnell</v>
          </cell>
          <cell r="D86" t="str">
            <v>S80</v>
          </cell>
          <cell r="E86" t="str">
            <v>S80DEN</v>
          </cell>
          <cell r="F86">
            <v>95</v>
          </cell>
          <cell r="G86">
            <v>59</v>
          </cell>
          <cell r="H86">
            <v>0</v>
          </cell>
          <cell r="I86">
            <v>43</v>
          </cell>
          <cell r="J86">
            <v>14</v>
          </cell>
          <cell r="K86">
            <v>3496</v>
          </cell>
          <cell r="L86">
            <v>2099</v>
          </cell>
        </row>
        <row r="87">
          <cell r="C87" t="str">
            <v>William Bonnell</v>
          </cell>
          <cell r="D87" t="str">
            <v>S80</v>
          </cell>
          <cell r="E87" t="str">
            <v>S80VIS</v>
          </cell>
          <cell r="F87">
            <v>199</v>
          </cell>
          <cell r="G87">
            <v>153</v>
          </cell>
          <cell r="H87">
            <v>0</v>
          </cell>
          <cell r="I87">
            <v>128</v>
          </cell>
          <cell r="J87">
            <v>22</v>
          </cell>
          <cell r="K87">
            <v>4609.04</v>
          </cell>
          <cell r="L87">
            <v>2986.4</v>
          </cell>
        </row>
        <row r="88">
          <cell r="C88">
            <v>0</v>
          </cell>
          <cell r="D88">
            <v>0</v>
          </cell>
          <cell r="E88">
            <v>0</v>
          </cell>
          <cell r="F88">
            <v>0</v>
          </cell>
          <cell r="G88">
            <v>0</v>
          </cell>
          <cell r="H88">
            <v>0</v>
          </cell>
          <cell r="I88">
            <v>0</v>
          </cell>
          <cell r="J88">
            <v>0</v>
          </cell>
          <cell r="K88">
            <v>0</v>
          </cell>
          <cell r="L88">
            <v>0</v>
          </cell>
        </row>
        <row r="89">
          <cell r="C89">
            <v>0</v>
          </cell>
          <cell r="D89">
            <v>0</v>
          </cell>
          <cell r="E89">
            <v>0</v>
          </cell>
          <cell r="F89">
            <v>0</v>
          </cell>
          <cell r="G89">
            <v>0</v>
          </cell>
          <cell r="H89">
            <v>0</v>
          </cell>
          <cell r="I89">
            <v>0</v>
          </cell>
          <cell r="J89">
            <v>0</v>
          </cell>
          <cell r="K89">
            <v>0</v>
          </cell>
          <cell r="L89">
            <v>0</v>
          </cell>
        </row>
        <row r="90">
          <cell r="C90">
            <v>0</v>
          </cell>
          <cell r="D90">
            <v>0</v>
          </cell>
          <cell r="E90">
            <v>0</v>
          </cell>
          <cell r="F90">
            <v>0</v>
          </cell>
          <cell r="G90">
            <v>0</v>
          </cell>
          <cell r="H90">
            <v>0</v>
          </cell>
          <cell r="I90">
            <v>0</v>
          </cell>
          <cell r="J90">
            <v>0</v>
          </cell>
          <cell r="K90">
            <v>0</v>
          </cell>
          <cell r="L90">
            <v>0</v>
          </cell>
        </row>
        <row r="91">
          <cell r="C91">
            <v>0</v>
          </cell>
          <cell r="D91">
            <v>0</v>
          </cell>
          <cell r="E91">
            <v>0</v>
          </cell>
          <cell r="F91">
            <v>0</v>
          </cell>
          <cell r="G91">
            <v>0</v>
          </cell>
          <cell r="H91">
            <v>0</v>
          </cell>
          <cell r="I91">
            <v>0</v>
          </cell>
          <cell r="J91">
            <v>0</v>
          </cell>
          <cell r="K91">
            <v>0</v>
          </cell>
          <cell r="L91">
            <v>0</v>
          </cell>
        </row>
        <row r="92">
          <cell r="C92">
            <v>0</v>
          </cell>
          <cell r="D92">
            <v>0</v>
          </cell>
          <cell r="E92">
            <v>0</v>
          </cell>
          <cell r="F92">
            <v>0</v>
          </cell>
          <cell r="G92">
            <v>0</v>
          </cell>
          <cell r="H92">
            <v>0</v>
          </cell>
          <cell r="I92">
            <v>0</v>
          </cell>
          <cell r="J92">
            <v>0</v>
          </cell>
          <cell r="K92">
            <v>0</v>
          </cell>
          <cell r="L92">
            <v>0</v>
          </cell>
        </row>
        <row r="93">
          <cell r="C93">
            <v>0</v>
          </cell>
          <cell r="D93">
            <v>0</v>
          </cell>
          <cell r="E93">
            <v>0</v>
          </cell>
          <cell r="F93">
            <v>0</v>
          </cell>
          <cell r="G93">
            <v>0</v>
          </cell>
          <cell r="H93">
            <v>0</v>
          </cell>
          <cell r="I93">
            <v>0</v>
          </cell>
          <cell r="J93">
            <v>0</v>
          </cell>
          <cell r="K93">
            <v>0</v>
          </cell>
          <cell r="L93">
            <v>0</v>
          </cell>
        </row>
        <row r="94">
          <cell r="C94">
            <v>0</v>
          </cell>
          <cell r="D94">
            <v>0</v>
          </cell>
          <cell r="E94">
            <v>0</v>
          </cell>
          <cell r="F94">
            <v>0</v>
          </cell>
          <cell r="G94">
            <v>0</v>
          </cell>
          <cell r="H94">
            <v>0</v>
          </cell>
          <cell r="I94">
            <v>0</v>
          </cell>
          <cell r="J94">
            <v>0</v>
          </cell>
          <cell r="K94">
            <v>0</v>
          </cell>
          <cell r="L94">
            <v>0</v>
          </cell>
        </row>
        <row r="95">
          <cell r="C95">
            <v>0</v>
          </cell>
          <cell r="D95">
            <v>0</v>
          </cell>
          <cell r="E95">
            <v>0</v>
          </cell>
          <cell r="F95">
            <v>0</v>
          </cell>
          <cell r="G95">
            <v>0</v>
          </cell>
          <cell r="H95">
            <v>0</v>
          </cell>
          <cell r="I95">
            <v>0</v>
          </cell>
          <cell r="J95">
            <v>0</v>
          </cell>
          <cell r="K95">
            <v>0</v>
          </cell>
          <cell r="L95">
            <v>0</v>
          </cell>
        </row>
        <row r="96">
          <cell r="C96">
            <v>0</v>
          </cell>
          <cell r="D96">
            <v>0</v>
          </cell>
          <cell r="E96">
            <v>0</v>
          </cell>
          <cell r="F96">
            <v>0</v>
          </cell>
          <cell r="G96">
            <v>0</v>
          </cell>
          <cell r="H96">
            <v>0</v>
          </cell>
          <cell r="I96">
            <v>0</v>
          </cell>
          <cell r="J96">
            <v>0</v>
          </cell>
          <cell r="K96">
            <v>0</v>
          </cell>
          <cell r="L96">
            <v>0</v>
          </cell>
        </row>
        <row r="97">
          <cell r="C97" t="str">
            <v>LAST ROW DO NO USE</v>
          </cell>
          <cell r="D97">
            <v>0</v>
          </cell>
          <cell r="E97">
            <v>0</v>
          </cell>
          <cell r="F97">
            <v>0</v>
          </cell>
          <cell r="G97">
            <v>0</v>
          </cell>
          <cell r="H97">
            <v>0</v>
          </cell>
          <cell r="I97">
            <v>0</v>
          </cell>
          <cell r="J97">
            <v>0</v>
          </cell>
          <cell r="K97">
            <v>0</v>
          </cell>
          <cell r="L97">
            <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49"/>
  <sheetViews>
    <sheetView tabSelected="1" workbookViewId="0">
      <selection activeCell="P18" sqref="P18"/>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54" t="s">
        <v>58</v>
      </c>
      <c r="C1" s="154"/>
      <c r="D1" s="154"/>
      <c r="E1" s="154"/>
      <c r="F1" s="154"/>
      <c r="G1" s="154"/>
      <c r="H1" s="154"/>
      <c r="I1" s="154"/>
      <c r="J1" s="154"/>
      <c r="K1" s="154"/>
      <c r="L1" s="154"/>
      <c r="M1" s="154"/>
      <c r="N1" s="154"/>
    </row>
    <row r="2" spans="2:26" s="1" customFormat="1" ht="20.25" customHeight="1" x14ac:dyDescent="0.25">
      <c r="B2" s="155" t="s">
        <v>44</v>
      </c>
      <c r="C2" s="155"/>
      <c r="D2" s="155"/>
      <c r="E2" s="155"/>
      <c r="F2" s="155"/>
      <c r="G2" s="155"/>
      <c r="H2" s="155"/>
      <c r="I2" s="155"/>
      <c r="J2" s="155"/>
      <c r="K2" s="155"/>
      <c r="L2" s="155"/>
      <c r="M2" s="155"/>
      <c r="N2" s="155"/>
      <c r="O2" s="3"/>
      <c r="P2" s="3"/>
      <c r="Q2" s="4"/>
      <c r="R2" s="3"/>
      <c r="S2" s="3"/>
      <c r="T2" s="3"/>
      <c r="U2" s="3"/>
      <c r="V2" s="3"/>
      <c r="W2" s="3"/>
      <c r="X2" s="3"/>
      <c r="Y2" s="3"/>
      <c r="Z2" s="3"/>
    </row>
    <row r="3" spans="2:26" s="1" customFormat="1" ht="20.25" customHeight="1" x14ac:dyDescent="0.25">
      <c r="G3" s="5" t="s">
        <v>0</v>
      </c>
      <c r="H3" s="6">
        <v>45962</v>
      </c>
      <c r="I3" s="2" t="s">
        <v>1</v>
      </c>
      <c r="J3" s="6">
        <v>46326</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56" t="s">
        <v>2</v>
      </c>
      <c r="C5" s="156"/>
      <c r="D5" s="157" t="s">
        <v>59</v>
      </c>
      <c r="E5" s="157"/>
      <c r="F5" s="157"/>
      <c r="G5" s="157"/>
      <c r="H5" s="15"/>
      <c r="I5" s="16"/>
      <c r="J5" s="16"/>
      <c r="K5" s="156" t="s">
        <v>3</v>
      </c>
      <c r="L5" s="156"/>
      <c r="M5" s="157" t="s">
        <v>40</v>
      </c>
      <c r="N5" s="157"/>
    </row>
    <row r="6" spans="2:26" s="1" customFormat="1" ht="20.25" customHeight="1" x14ac:dyDescent="0.25">
      <c r="B6" s="156" t="s">
        <v>4</v>
      </c>
      <c r="C6" s="156"/>
      <c r="D6" s="157" t="s">
        <v>57</v>
      </c>
      <c r="E6" s="157"/>
      <c r="F6" s="157"/>
      <c r="G6" s="157"/>
      <c r="H6" s="15"/>
      <c r="I6" s="12"/>
      <c r="J6" s="12"/>
      <c r="K6" s="156" t="s">
        <v>5</v>
      </c>
      <c r="L6" s="156"/>
      <c r="M6" s="157" t="s">
        <v>78</v>
      </c>
      <c r="N6" s="157"/>
    </row>
    <row r="7" spans="2:26" ht="21" customHeight="1" thickBot="1" x14ac:dyDescent="0.25">
      <c r="C7" s="18"/>
      <c r="D7" s="18"/>
      <c r="E7" s="18"/>
    </row>
    <row r="8" spans="2:26" s="22" customFormat="1" ht="15.75" customHeight="1" thickBot="1" x14ac:dyDescent="0.25">
      <c r="B8" s="173" t="s">
        <v>6</v>
      </c>
      <c r="C8" s="174"/>
      <c r="D8" s="174"/>
      <c r="E8" s="174"/>
      <c r="F8" s="174"/>
      <c r="G8" s="174"/>
      <c r="H8" s="21" t="s">
        <v>7</v>
      </c>
      <c r="I8" s="184" t="s">
        <v>8</v>
      </c>
      <c r="J8" s="184"/>
      <c r="K8" s="184"/>
      <c r="L8" s="185"/>
      <c r="M8" s="186" t="s">
        <v>9</v>
      </c>
      <c r="N8" s="185"/>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5"/>
      <c r="N11" s="48"/>
      <c r="R11" s="49"/>
    </row>
    <row r="12" spans="2:26" s="22" customFormat="1" ht="15.75" customHeight="1" x14ac:dyDescent="0.2">
      <c r="B12" s="90">
        <v>45962</v>
      </c>
      <c r="C12" s="50">
        <f>(GOLD!C12)+(SILVER!C12)+(Platinum!C12)</f>
        <v>51</v>
      </c>
      <c r="D12" s="50">
        <f>(GOLD!D12)+(SILVER!D12)+(Platinum!D12)</f>
        <v>16</v>
      </c>
      <c r="E12" s="50">
        <f>(GOLD!E12)+(SILVER!E12)+(Platinum!E12)</f>
        <v>4</v>
      </c>
      <c r="F12" s="50">
        <f>(GOLD!F12)+(SILVER!F12)+(Platinum!F12)</f>
        <v>21</v>
      </c>
      <c r="G12" s="50">
        <f>(GOLD!G12)+(SILVER!G12)+(Platinum!G12)</f>
        <v>92</v>
      </c>
      <c r="H12" s="52">
        <f>(GOLD!H12)+(SILVER!H12)+(Platinum!H12)</f>
        <v>510.59999999999997</v>
      </c>
      <c r="I12" s="53">
        <f>(GOLD!I12)+(SILVER!I12)+(Platinum!I12)</f>
        <v>9674.2400000000016</v>
      </c>
      <c r="J12" s="54">
        <f>(GOLD!J12)+(SILVER!J12)+(Platinum!J12)</f>
        <v>0</v>
      </c>
      <c r="K12" s="54">
        <f>(GOLD!K12)+(SILVER!K12)+(Platinum!K12)</f>
        <v>0</v>
      </c>
      <c r="L12" s="91">
        <f>(GOLD!L12)+(SILVER!L12)+(Platinum!L12)</f>
        <v>0</v>
      </c>
      <c r="M12" s="54">
        <f>(GOLD!M12)+(SILVER!M12)+(Platinum!M12)</f>
        <v>9674.2400000000016</v>
      </c>
      <c r="N12" s="55">
        <f>K12/I12</f>
        <v>0</v>
      </c>
      <c r="Q12" s="49"/>
      <c r="R12" s="49"/>
    </row>
    <row r="13" spans="2:26" s="22" customFormat="1" ht="15.75" customHeight="1" x14ac:dyDescent="0.2">
      <c r="B13" s="90">
        <v>45992</v>
      </c>
      <c r="C13" s="50">
        <f>(GOLD!C13)+(SILVER!C13)+(Platinum!C13)</f>
        <v>51</v>
      </c>
      <c r="D13" s="50">
        <f>(GOLD!D13)+(SILVER!D13)+(Platinum!D13)</f>
        <v>16</v>
      </c>
      <c r="E13" s="50">
        <f>(GOLD!E13)+(SILVER!E13)+(Platinum!E13)</f>
        <v>4</v>
      </c>
      <c r="F13" s="50">
        <f>(GOLD!F13)+(SILVER!F13)+(Platinum!F13)</f>
        <v>19</v>
      </c>
      <c r="G13" s="50">
        <f>(GOLD!G13)+(SILVER!G13)+(Platinum!G13)</f>
        <v>90</v>
      </c>
      <c r="H13" s="52">
        <f>(GOLD!H13)+(SILVER!H13)+(Platinum!H13)</f>
        <v>499.49999999999994</v>
      </c>
      <c r="I13" s="53">
        <f>(GOLD!I13)+(SILVER!I13)+(Platinum!I13)</f>
        <v>8743.4500000000007</v>
      </c>
      <c r="J13" s="54">
        <f>(GOLD!J13)+(SILVER!J13)+(Platinum!J13)</f>
        <v>18264.39</v>
      </c>
      <c r="K13" s="54">
        <f>(GOLD!K13)+(SILVER!K13)+(Platinum!K13)</f>
        <v>12020.83</v>
      </c>
      <c r="L13" s="91">
        <f>(GOLD!L13)+(SILVER!L13)+(Platinum!L13)</f>
        <v>36</v>
      </c>
      <c r="M13" s="54">
        <f>(GOLD!M13)+(SILVER!M13)+(Platinum!M13)</f>
        <v>-3277.3799999999997</v>
      </c>
      <c r="N13" s="55">
        <f t="shared" ref="N13:N19" si="0">K13/I13</f>
        <v>1.3748383075330675</v>
      </c>
      <c r="Q13" s="10"/>
      <c r="R13" s="49"/>
    </row>
    <row r="14" spans="2:26" s="22" customFormat="1" ht="15.75" customHeight="1" x14ac:dyDescent="0.2">
      <c r="B14" s="90">
        <v>46023</v>
      </c>
      <c r="C14" s="50">
        <f>(GOLD!C14)+(SILVER!C14)+(Platinum!C14)</f>
        <v>51</v>
      </c>
      <c r="D14" s="50">
        <f>(GOLD!D14)+(SILVER!D14)+(Platinum!D14)</f>
        <v>16</v>
      </c>
      <c r="E14" s="50">
        <f>(GOLD!E14)+(SILVER!E14)+(Platinum!E14)</f>
        <v>4</v>
      </c>
      <c r="F14" s="50">
        <f>(GOLD!F14)+(SILVER!F14)+(Platinum!F14)</f>
        <v>19</v>
      </c>
      <c r="G14" s="50">
        <f>(GOLD!G14)+(SILVER!G14)+(Platinum!G14)</f>
        <v>90</v>
      </c>
      <c r="H14" s="52">
        <f>(GOLD!H14)+(SILVER!H14)+(Platinum!H14)</f>
        <v>499.49999999999994</v>
      </c>
      <c r="I14" s="53">
        <f>(GOLD!I14)+(SILVER!I14)+(Platinum!I14)</f>
        <v>8743.4500000000007</v>
      </c>
      <c r="J14" s="54">
        <f>GOLD!J14+SILVER!J14+Platinum!J14</f>
        <v>4681.2</v>
      </c>
      <c r="K14" s="54">
        <f>GOLD!K14+SILVER!K14+Platinum!K14</f>
        <v>2547.44</v>
      </c>
      <c r="L14" s="148">
        <f>GOLD!L14+SILVER!L14+Platinum!L14</f>
        <v>8</v>
      </c>
      <c r="M14" s="53">
        <f>(GOLD!M14)+(SILVER!M14)+(Platinum!M14)</f>
        <v>6196.01</v>
      </c>
      <c r="N14" s="55">
        <f t="shared" si="0"/>
        <v>0.29135409935437384</v>
      </c>
      <c r="Q14" s="10"/>
      <c r="R14" s="49"/>
    </row>
    <row r="15" spans="2:26" s="22" customFormat="1" ht="15.75" customHeight="1" x14ac:dyDescent="0.2">
      <c r="B15" s="90">
        <v>46054</v>
      </c>
      <c r="C15" s="50">
        <f>(GOLD!C15)+(SILVER!C15)+(Platinum!C15)</f>
        <v>48</v>
      </c>
      <c r="D15" s="50">
        <f>(GOLD!D15)+(SILVER!D15)+(Platinum!D15)</f>
        <v>16</v>
      </c>
      <c r="E15" s="50">
        <f>(GOLD!E15)+(SILVER!E15)+(Platinum!E15)</f>
        <v>4</v>
      </c>
      <c r="F15" s="50">
        <f>(GOLD!F15)+(SILVER!F15)+(Platinum!F15)</f>
        <v>17</v>
      </c>
      <c r="G15" s="50">
        <f>(GOLD!G15)+(SILVER!G15)+(Platinum!G15)</f>
        <v>85</v>
      </c>
      <c r="H15" s="52">
        <f>(GOLD!H15)+(SILVER!H15)+(Platinum!H15)</f>
        <v>471.75</v>
      </c>
      <c r="I15" s="53">
        <f>(GOLD!I15)+(SILVER!I15)+(Platinum!I15)</f>
        <v>8105.02</v>
      </c>
      <c r="J15" s="54">
        <f>(GOLD!J15)+(SILVER!J15)+(Platinum!J15)</f>
        <v>9202</v>
      </c>
      <c r="K15" s="54">
        <f>(GOLD!K15)+(SILVER!K15)+(Platinum!K15)</f>
        <v>5732.4</v>
      </c>
      <c r="L15" s="148">
        <f>(GOLD!L15)+(SILVER!L15)+(Platinum!L15)</f>
        <v>10</v>
      </c>
      <c r="M15" s="53">
        <f>(GOLD!M15)+(SILVER!M15)+(Platinum!M15)</f>
        <v>2372.62</v>
      </c>
      <c r="N15" s="55">
        <f t="shared" si="0"/>
        <v>0.70726537380536991</v>
      </c>
      <c r="Q15" s="10"/>
      <c r="R15" s="49"/>
    </row>
    <row r="16" spans="2:26" s="22" customFormat="1" ht="15.75" customHeight="1" x14ac:dyDescent="0.2">
      <c r="B16" s="90">
        <v>46082</v>
      </c>
      <c r="C16" s="50">
        <f>(GOLD!C16)+(SILVER!C16)+(Platinum!C16)</f>
        <v>50</v>
      </c>
      <c r="D16" s="50">
        <f>(GOLD!D16)+(SILVER!D16)+(Platinum!D16)</f>
        <v>16</v>
      </c>
      <c r="E16" s="50">
        <f>(GOLD!E16)+(SILVER!E16)+(Platinum!E16)</f>
        <v>5</v>
      </c>
      <c r="F16" s="50">
        <f>(GOLD!F16)+(SILVER!F16)+(Platinum!F16)</f>
        <v>17</v>
      </c>
      <c r="G16" s="50">
        <f>(GOLD!G16)+(SILVER!G16)+(Platinum!G16)</f>
        <v>88</v>
      </c>
      <c r="H16" s="52">
        <f>(GOLD!H16)+(SILVER!H16)+(Platinum!H16)</f>
        <v>488.4</v>
      </c>
      <c r="I16" s="53">
        <f>(GOLD!I16)+(SILVER!I16)+(Platinum!I16)</f>
        <v>8422.84</v>
      </c>
      <c r="J16" s="54">
        <f>(GOLD!J16)+(SILVER!J16)+(Platinum!J16)</f>
        <v>8771.09</v>
      </c>
      <c r="K16" s="54">
        <f>(GOLD!K16)+(SILVER!K16)+(Platinum!K16)</f>
        <v>5056.42</v>
      </c>
      <c r="L16" s="148">
        <f>(GOLD!L16)+(SILVER!L16)+(Platinum!L16)</f>
        <v>16</v>
      </c>
      <c r="M16" s="53">
        <f>(GOLD!M16)+(SILVER!M16)+(Platinum!M16)</f>
        <v>3366.42</v>
      </c>
      <c r="N16" s="55">
        <f t="shared" si="0"/>
        <v>0.6003224565585954</v>
      </c>
      <c r="Q16" s="10"/>
      <c r="R16" s="49"/>
    </row>
    <row r="17" spans="2:18" s="22" customFormat="1" ht="15.75" customHeight="1" x14ac:dyDescent="0.2">
      <c r="B17" s="90">
        <v>46113</v>
      </c>
      <c r="C17" s="50">
        <f>(GOLD!C17)+(SILVER!C17)+(Platinum!C17)</f>
        <v>50</v>
      </c>
      <c r="D17" s="50">
        <f>(GOLD!D17)+(SILVER!D17)+(Platinum!D17)</f>
        <v>16</v>
      </c>
      <c r="E17" s="50">
        <f>(GOLD!E17)+(SILVER!E17)+(Platinum!E17)</f>
        <v>5</v>
      </c>
      <c r="F17" s="50">
        <f>(GOLD!F17)+(SILVER!F17)+(Platinum!F17)</f>
        <v>18</v>
      </c>
      <c r="G17" s="50">
        <f>(GOLD!G17)+(SILVER!G17)+(Platinum!G17)</f>
        <v>89</v>
      </c>
      <c r="H17" s="52">
        <f>(GOLD!H17)+(SILVER!H17)+(Platinum!H17)</f>
        <v>493.94999999999993</v>
      </c>
      <c r="I17" s="53">
        <f>(GOLD!I17)+(SILVER!I17)+(Platinum!I17)</f>
        <v>8553.84</v>
      </c>
      <c r="J17" s="54">
        <f>(GOLD!J17)+(SILVER!J17)+(Platinum!J17)</f>
        <v>32550.41</v>
      </c>
      <c r="K17" s="54">
        <f>(GOLD!K17)+(SILVER!K17)+(Platinum!K17)</f>
        <v>15178.259999999998</v>
      </c>
      <c r="L17" s="149">
        <f>(GOLD!L17)+(SILVER!L17)+(Platinum!L17)</f>
        <v>60</v>
      </c>
      <c r="M17" s="54">
        <f>(GOLD!M17)+(SILVER!M17)+(Platinum!M17)</f>
        <v>-6624.42</v>
      </c>
      <c r="N17" s="55">
        <f t="shared" si="0"/>
        <v>1.7744381470778035</v>
      </c>
      <c r="Q17" s="10"/>
      <c r="R17" s="49"/>
    </row>
    <row r="18" spans="2:18" s="22" customFormat="1" ht="15.75" customHeight="1" x14ac:dyDescent="0.2">
      <c r="B18" s="90">
        <v>46143</v>
      </c>
      <c r="C18" s="50">
        <f>(GOLD!C18)+(SILVER!C18)+(Platinum!C18)</f>
        <v>50</v>
      </c>
      <c r="D18" s="50">
        <f>(GOLD!D18)+(SILVER!D18)+(Platinum!D18)</f>
        <v>16</v>
      </c>
      <c r="E18" s="50">
        <f>(GOLD!E18)+(SILVER!E18)+(Platinum!E18)</f>
        <v>5</v>
      </c>
      <c r="F18" s="50">
        <f>(GOLD!F18)+(SILVER!F18)+(Platinum!F18)</f>
        <v>18</v>
      </c>
      <c r="G18" s="50">
        <f>(GOLD!G18)+(SILVER!G18)+(Platinum!G18)</f>
        <v>89</v>
      </c>
      <c r="H18" s="52">
        <f>(GOLD!H18)+(SILVER!H18)+(Platinum!H18)</f>
        <v>493.94999999999993</v>
      </c>
      <c r="I18" s="53">
        <f>(GOLD!I18)+(SILVER!I18)+(Platinum!I18)</f>
        <v>8553.84</v>
      </c>
      <c r="J18" s="54">
        <f>(GOLD!J18)+(SILVER!J18)+(Platinum!J18)</f>
        <v>16799.64</v>
      </c>
      <c r="K18" s="54">
        <f>(GOLD!K18)+(SILVER!K18)+(Platinum!K18)</f>
        <v>8509.42</v>
      </c>
      <c r="L18" s="149">
        <f>(GOLD!L18)+(SILVER!L18)+(Platinum!L18)</f>
        <v>31</v>
      </c>
      <c r="M18" s="54">
        <f>(GOLD!M18)+(SILVER!M18)+(Platinum!M18)</f>
        <v>44.420000000000073</v>
      </c>
      <c r="N18" s="55">
        <f t="shared" si="0"/>
        <v>0.99480701065252564</v>
      </c>
      <c r="Q18" s="10"/>
      <c r="R18" s="49"/>
    </row>
    <row r="19" spans="2:18" s="22" customFormat="1" ht="15.75" customHeight="1" x14ac:dyDescent="0.2">
      <c r="B19" s="90">
        <v>46174</v>
      </c>
      <c r="C19" s="50">
        <f>(GOLD!C19)+(SILVER!C19)+(Platinum!C19)</f>
        <v>49</v>
      </c>
      <c r="D19" s="50">
        <f>(GOLD!D19)+(SILVER!D19)+(Platinum!D19)</f>
        <v>16</v>
      </c>
      <c r="E19" s="50">
        <f>(GOLD!E19)+(SILVER!E19)+(Platinum!E19)</f>
        <v>5</v>
      </c>
      <c r="F19" s="50">
        <f>(GOLD!F19)+(SILVER!F19)+(Platinum!F19)</f>
        <v>19</v>
      </c>
      <c r="G19" s="50">
        <f>(GOLD!G19)+(SILVER!G19)+(Platinum!G19)</f>
        <v>89</v>
      </c>
      <c r="H19" s="52">
        <f>(GOLD!H19)+(SILVER!H19)+(Platinum!H19)</f>
        <v>493.94999999999993</v>
      </c>
      <c r="I19" s="53">
        <f>(GOLD!I19)+(SILVER!I19)+(Platinum!I19)</f>
        <v>8645.84</v>
      </c>
      <c r="J19" s="54">
        <f>(GOLD!J19)+(SILVER!J19)+(Platinum!J19)</f>
        <v>3442</v>
      </c>
      <c r="K19" s="54">
        <f>(GOLD!K19)+(SILVER!K19)+(Platinum!K19)</f>
        <v>3086</v>
      </c>
      <c r="L19" s="149">
        <f>(GOLD!L19)+(SILVER!L19)+(Platinum!L19)</f>
        <v>13</v>
      </c>
      <c r="M19" s="54">
        <f>(GOLD!M19)+(SILVER!M19)+(Platinum!M19)</f>
        <v>5559.84</v>
      </c>
      <c r="N19" s="55">
        <f t="shared" si="0"/>
        <v>0.35693466453230688</v>
      </c>
      <c r="Q19" s="10"/>
      <c r="R19" s="49"/>
    </row>
    <row r="20" spans="2:18" s="22" customFormat="1" ht="15.75" customHeight="1" x14ac:dyDescent="0.2">
      <c r="B20" s="90">
        <v>46204</v>
      </c>
      <c r="C20" s="50">
        <f>(GOLD!C20)+(SILVER!C20)+(Platinum!C20)</f>
        <v>0</v>
      </c>
      <c r="D20" s="50">
        <f>(GOLD!D20)+(SILVER!D20)+(Platinum!D20)</f>
        <v>0</v>
      </c>
      <c r="E20" s="50">
        <f>(GOLD!E20)+(SILVER!E20)+(Platinum!E20)</f>
        <v>0</v>
      </c>
      <c r="F20" s="50">
        <f>(GOLD!F20)+(SILVER!F20)+(Platinum!F20)</f>
        <v>0</v>
      </c>
      <c r="G20" s="50">
        <f>(GOLD!G20)+(SILVER!G20)+(Platinum!G20)</f>
        <v>0</v>
      </c>
      <c r="H20" s="52">
        <f>(GOLD!H20)+(SILVER!H20)+(Platinum!H20)</f>
        <v>0</v>
      </c>
      <c r="I20" s="53">
        <f>(GOLD!I20)+(SILVER!I20)+(Platinum!I20)</f>
        <v>0</v>
      </c>
      <c r="J20" s="54"/>
      <c r="K20" s="54"/>
      <c r="L20" s="91"/>
      <c r="M20" s="54">
        <f>(GOLD!M20)+(SILVER!M20)+(Platinum!M20)</f>
        <v>0</v>
      </c>
      <c r="N20" s="55"/>
      <c r="Q20" s="10"/>
      <c r="R20" s="49"/>
    </row>
    <row r="21" spans="2:18" s="22" customFormat="1" ht="15.75" customHeight="1" x14ac:dyDescent="0.2">
      <c r="B21" s="90">
        <v>46235</v>
      </c>
      <c r="C21" s="50">
        <f>(GOLD!C21)+(SILVER!C21)+(Platinum!C21)</f>
        <v>0</v>
      </c>
      <c r="D21" s="50">
        <f>(GOLD!D21)+(SILVER!D21)+(Platinum!D21)</f>
        <v>0</v>
      </c>
      <c r="E21" s="50">
        <f>(GOLD!E21)+(SILVER!E21)+(Platinum!E21)</f>
        <v>0</v>
      </c>
      <c r="F21" s="50">
        <f>(GOLD!F21)+(SILVER!F21)+(Platinum!F21)</f>
        <v>0</v>
      </c>
      <c r="G21" s="50">
        <f>(GOLD!G21)+(SILVER!G21)+(Platinum!G21)</f>
        <v>0</v>
      </c>
      <c r="H21" s="52">
        <f>(GOLD!H21)+(SILVER!H21)+(Platinum!H21)</f>
        <v>0</v>
      </c>
      <c r="I21" s="53">
        <f>(GOLD!I21)+(SILVER!I21)+(Platinum!I21)</f>
        <v>0</v>
      </c>
      <c r="J21" s="54"/>
      <c r="K21" s="54"/>
      <c r="L21" s="91"/>
      <c r="M21" s="54">
        <f>(GOLD!M21)+(SILVER!M21)+(Platinum!M21)</f>
        <v>0</v>
      </c>
      <c r="N21" s="55"/>
      <c r="Q21" s="10"/>
      <c r="R21" s="49"/>
    </row>
    <row r="22" spans="2:18" s="22" customFormat="1" ht="15.75" customHeight="1" x14ac:dyDescent="0.2">
      <c r="B22" s="90">
        <v>46266</v>
      </c>
      <c r="C22" s="50">
        <f>(GOLD!C22)+(SILVER!C22)+(Platinum!C22)</f>
        <v>0</v>
      </c>
      <c r="D22" s="50">
        <f>(GOLD!D22)+(SILVER!D22)+(Platinum!D22)</f>
        <v>0</v>
      </c>
      <c r="E22" s="50">
        <f>(GOLD!E22)+(SILVER!E22)+(Platinum!E22)</f>
        <v>0</v>
      </c>
      <c r="F22" s="50">
        <f>(GOLD!F22)+(SILVER!F22)+(Platinum!F22)</f>
        <v>0</v>
      </c>
      <c r="G22" s="50">
        <f>(GOLD!G22)+(SILVER!G22)+(Platinum!G22)</f>
        <v>0</v>
      </c>
      <c r="H22" s="52">
        <f>(GOLD!H22)+(SILVER!H22)+(Platinum!H22)</f>
        <v>0</v>
      </c>
      <c r="I22" s="53">
        <f>(GOLD!I22)+(SILVER!I22)+(Platinum!I22)</f>
        <v>0</v>
      </c>
      <c r="J22" s="54"/>
      <c r="K22" s="54"/>
      <c r="L22" s="126"/>
      <c r="M22" s="54">
        <f>(GOLD!M22)+(SILVER!M22)+(Platinum!M22)</f>
        <v>0</v>
      </c>
      <c r="N22" s="125"/>
      <c r="Q22" s="10"/>
      <c r="R22" s="49"/>
    </row>
    <row r="23" spans="2:18" s="22" customFormat="1" ht="15.75" customHeight="1" x14ac:dyDescent="0.2">
      <c r="B23" s="90">
        <v>46296</v>
      </c>
      <c r="C23" s="50">
        <f>(GOLD!C23)+(SILVER!C23)+(Platinum!C23)</f>
        <v>0</v>
      </c>
      <c r="D23" s="50">
        <f>(GOLD!D23)+(SILVER!D23)+(Platinum!D23)</f>
        <v>0</v>
      </c>
      <c r="E23" s="50">
        <f>(GOLD!E23)+(SILVER!E23)+(Platinum!E23)</f>
        <v>0</v>
      </c>
      <c r="F23" s="50">
        <f>(GOLD!F23)+(SILVER!F23)+(Platinum!F23)</f>
        <v>0</v>
      </c>
      <c r="G23" s="50">
        <f>(GOLD!G23)+(SILVER!G23)+(Platinum!G23)</f>
        <v>0</v>
      </c>
      <c r="H23" s="52">
        <f>(GOLD!H23)+(SILVER!H23)+(Platinum!H23)</f>
        <v>0</v>
      </c>
      <c r="I23" s="53">
        <f>(GOLD!I23)+(SILVER!I23)</f>
        <v>0</v>
      </c>
      <c r="J23" s="54"/>
      <c r="K23" s="54"/>
      <c r="L23" s="126"/>
      <c r="M23" s="54">
        <f>(GOLD!M23)+(SILVER!M23)+(Platinum!M23)</f>
        <v>0</v>
      </c>
      <c r="N23" s="125"/>
      <c r="Q23" s="10"/>
      <c r="R23" s="49"/>
    </row>
    <row r="24" spans="2:18" s="22" customFormat="1" ht="15.75" customHeight="1" thickBot="1" x14ac:dyDescent="0.25">
      <c r="B24" s="56"/>
      <c r="C24" s="57"/>
      <c r="D24" s="57"/>
      <c r="E24" s="57"/>
      <c r="F24" s="57"/>
      <c r="G24" s="58"/>
      <c r="H24" s="59"/>
      <c r="I24" s="60"/>
      <c r="J24" s="61"/>
      <c r="K24" s="62"/>
      <c r="L24" s="63"/>
      <c r="M24" s="62"/>
      <c r="N24" s="65"/>
    </row>
    <row r="25" spans="2:18" s="72" customFormat="1" ht="15.75" customHeight="1" thickBot="1" x14ac:dyDescent="0.3">
      <c r="B25" s="66" t="s">
        <v>24</v>
      </c>
      <c r="C25" s="67">
        <f>AVERAGEIF(C12:C23,"&gt;0")</f>
        <v>50</v>
      </c>
      <c r="D25" s="67">
        <f>AVERAGEIF(D12:D23,"&gt;0")</f>
        <v>16</v>
      </c>
      <c r="E25" s="67">
        <f>AVERAGEIF(E12:E23,"&gt;0")</f>
        <v>4.5</v>
      </c>
      <c r="F25" s="67">
        <f>AVERAGEIF(F12:F23,"&gt;0")</f>
        <v>18.5</v>
      </c>
      <c r="G25" s="67">
        <f>AVERAGEIF(G12:G23,"&gt;0")</f>
        <v>89</v>
      </c>
      <c r="H25" s="68">
        <f>SUM(H11:H23)</f>
        <v>3951.5999999999995</v>
      </c>
      <c r="I25" s="68">
        <f>SUM(I11:I23)</f>
        <v>69442.51999999999</v>
      </c>
      <c r="J25" s="69">
        <f>SUM(J11:J23)</f>
        <v>93710.73</v>
      </c>
      <c r="K25" s="70">
        <f>SUM(K11:K23)</f>
        <v>52130.76999999999</v>
      </c>
      <c r="L25" s="71">
        <f>SUM(L12:L23)</f>
        <v>174</v>
      </c>
      <c r="M25" s="68">
        <f>SUM(M12:M23)</f>
        <v>17311.750000000004</v>
      </c>
      <c r="N25" s="117">
        <f>K25/I25</f>
        <v>0.75070389150624139</v>
      </c>
    </row>
    <row r="26" spans="2:18" s="22" customFormat="1" ht="15.75" customHeight="1" x14ac:dyDescent="0.2">
      <c r="J26" s="73"/>
      <c r="L26" s="74"/>
    </row>
    <row r="27" spans="2:18" s="22" customFormat="1" ht="15.75" customHeight="1" x14ac:dyDescent="0.25">
      <c r="B27" s="17"/>
      <c r="C27" s="17"/>
      <c r="D27" s="17"/>
      <c r="E27" s="17"/>
      <c r="F27" s="17"/>
      <c r="G27" s="17"/>
      <c r="H27" s="75"/>
      <c r="J27" s="181" t="s">
        <v>26</v>
      </c>
      <c r="K27" s="182"/>
      <c r="L27" s="182"/>
      <c r="M27" s="182"/>
      <c r="N27" s="183"/>
    </row>
    <row r="28" spans="2:18" s="22" customFormat="1" ht="15.75" customHeight="1" x14ac:dyDescent="0.2">
      <c r="B28" s="17"/>
      <c r="C28" s="17"/>
      <c r="D28" s="17"/>
      <c r="E28" s="17"/>
      <c r="F28" s="17"/>
      <c r="G28" s="17"/>
      <c r="H28" s="73"/>
      <c r="J28" s="178" t="s">
        <v>29</v>
      </c>
      <c r="K28" s="179"/>
      <c r="L28" s="179"/>
      <c r="M28" s="180"/>
      <c r="N28" s="78">
        <f>J25/L25</f>
        <v>538.56741379310347</v>
      </c>
    </row>
    <row r="29" spans="2:18" s="22" customFormat="1" ht="15.75" customHeight="1" x14ac:dyDescent="0.2">
      <c r="B29" s="17"/>
      <c r="C29" s="17"/>
      <c r="D29" s="17"/>
      <c r="E29" s="17"/>
      <c r="F29" s="17"/>
      <c r="G29" s="17"/>
      <c r="H29" s="81"/>
      <c r="J29" s="178" t="s">
        <v>31</v>
      </c>
      <c r="K29" s="179"/>
      <c r="L29" s="179"/>
      <c r="M29" s="180"/>
      <c r="N29" s="78">
        <f>K25/L25</f>
        <v>299.60212643678153</v>
      </c>
    </row>
    <row r="30" spans="2:18" s="22" customFormat="1" ht="15.75" customHeight="1" x14ac:dyDescent="0.2">
      <c r="B30" s="17"/>
      <c r="C30" s="17"/>
      <c r="D30" s="17"/>
      <c r="E30" s="17"/>
      <c r="F30" s="17"/>
      <c r="G30" s="17"/>
      <c r="H30" s="81"/>
      <c r="J30" s="178" t="s">
        <v>32</v>
      </c>
      <c r="K30" s="179"/>
      <c r="L30" s="179"/>
      <c r="M30" s="180"/>
      <c r="N30" s="83">
        <f>((L25/COUNTIF(G12:G23,"&gt;0"))*12)/G25</f>
        <v>2.9325842696629212</v>
      </c>
    </row>
    <row r="31" spans="2:18" s="22" customFormat="1" ht="15.75" customHeight="1" x14ac:dyDescent="0.2">
      <c r="B31" s="17"/>
      <c r="C31" s="17"/>
      <c r="D31" s="17"/>
      <c r="E31" s="17"/>
      <c r="F31" s="17"/>
      <c r="G31" s="17"/>
      <c r="H31" s="81"/>
      <c r="J31" s="178" t="s">
        <v>34</v>
      </c>
      <c r="K31" s="179"/>
      <c r="L31" s="179"/>
      <c r="M31" s="180"/>
      <c r="N31" s="84">
        <f>K25/J25</f>
        <v>0.55629456733503191</v>
      </c>
    </row>
    <row r="32" spans="2:18" s="22" customFormat="1" ht="15.75" customHeight="1" x14ac:dyDescent="0.2">
      <c r="B32" s="17"/>
      <c r="C32" s="17"/>
      <c r="D32" s="17"/>
      <c r="E32" s="17"/>
      <c r="F32" s="17"/>
      <c r="G32" s="17"/>
      <c r="H32" s="81"/>
      <c r="J32" s="178" t="s">
        <v>36</v>
      </c>
      <c r="K32" s="179"/>
      <c r="L32" s="179"/>
      <c r="M32" s="180"/>
      <c r="N32" s="78">
        <f>K25/G25/(COUNTIF(G12:G23,"&gt;0"))</f>
        <v>73.217373595505606</v>
      </c>
    </row>
    <row r="33" spans="2:14" s="22" customFormat="1" ht="15.75" customHeight="1" x14ac:dyDescent="0.2">
      <c r="B33" s="17"/>
      <c r="C33" s="17"/>
      <c r="D33" s="17"/>
      <c r="E33" s="17"/>
      <c r="F33" s="17"/>
      <c r="G33" s="17"/>
      <c r="H33" s="81"/>
      <c r="J33" s="86"/>
      <c r="K33" s="86"/>
      <c r="L33" s="86"/>
      <c r="M33" s="86"/>
      <c r="N33" s="87"/>
    </row>
    <row r="34" spans="2:14" s="22" customFormat="1" ht="15.75" customHeight="1" x14ac:dyDescent="0.2">
      <c r="B34" s="17"/>
      <c r="C34" s="17"/>
      <c r="D34" s="17"/>
      <c r="E34" s="17"/>
      <c r="F34" s="17"/>
      <c r="G34" s="17"/>
      <c r="H34" s="88"/>
      <c r="J34" s="86"/>
      <c r="K34" s="86"/>
      <c r="L34" s="86"/>
      <c r="M34" s="86"/>
      <c r="N34" s="87"/>
    </row>
    <row r="35" spans="2:14" s="22" customFormat="1" ht="15.75" customHeight="1" x14ac:dyDescent="0.25">
      <c r="B35" s="17"/>
      <c r="C35" s="17"/>
      <c r="D35" s="17"/>
      <c r="E35" s="17"/>
      <c r="F35" s="17"/>
      <c r="G35" s="17"/>
      <c r="J35" s="167" t="s">
        <v>41</v>
      </c>
      <c r="K35" s="168"/>
      <c r="L35" s="168"/>
      <c r="M35" s="168"/>
      <c r="N35" s="169"/>
    </row>
    <row r="36" spans="2:14" s="22" customFormat="1" ht="15.75" customHeight="1" x14ac:dyDescent="0.25">
      <c r="B36" s="17"/>
      <c r="C36" s="17"/>
      <c r="D36" s="17"/>
      <c r="E36" s="17"/>
      <c r="F36" s="17"/>
      <c r="G36" s="17"/>
      <c r="H36" s="75"/>
      <c r="J36" s="170" t="s">
        <v>29</v>
      </c>
      <c r="K36" s="171"/>
      <c r="L36" s="171"/>
      <c r="M36" s="172"/>
      <c r="N36" s="118">
        <v>461.65</v>
      </c>
    </row>
    <row r="37" spans="2:14" s="22" customFormat="1" ht="15.75" customHeight="1" x14ac:dyDescent="0.2">
      <c r="B37" s="17"/>
      <c r="C37" s="17"/>
      <c r="D37" s="17"/>
      <c r="E37" s="17"/>
      <c r="F37" s="17"/>
      <c r="G37" s="17"/>
      <c r="H37" s="89"/>
      <c r="J37" s="170" t="s">
        <v>31</v>
      </c>
      <c r="K37" s="171"/>
      <c r="L37" s="171"/>
      <c r="M37" s="172"/>
      <c r="N37" s="118">
        <v>326.26</v>
      </c>
    </row>
    <row r="38" spans="2:14" s="22" customFormat="1" ht="15.75" customHeight="1" x14ac:dyDescent="0.2">
      <c r="B38" s="17"/>
      <c r="C38" s="17"/>
      <c r="D38" s="17"/>
      <c r="E38" s="17"/>
      <c r="F38" s="17"/>
      <c r="G38" s="17"/>
      <c r="H38" s="89"/>
      <c r="J38" s="170" t="s">
        <v>32</v>
      </c>
      <c r="K38" s="171"/>
      <c r="L38" s="171"/>
      <c r="M38" s="172"/>
      <c r="N38" s="119">
        <v>2.76</v>
      </c>
    </row>
    <row r="39" spans="2:14" s="22" customFormat="1" ht="15.75" customHeight="1" x14ac:dyDescent="0.2">
      <c r="B39" s="17"/>
      <c r="C39" s="17"/>
      <c r="D39" s="17"/>
      <c r="E39" s="17"/>
      <c r="F39" s="17"/>
      <c r="G39" s="17"/>
      <c r="H39" s="89"/>
      <c r="J39" s="170" t="s">
        <v>34</v>
      </c>
      <c r="K39" s="171"/>
      <c r="L39" s="171"/>
      <c r="M39" s="172"/>
      <c r="N39" s="120">
        <v>0.70669999999999999</v>
      </c>
    </row>
    <row r="40" spans="2:14" s="22" customFormat="1" ht="15.75" customHeight="1" x14ac:dyDescent="0.2">
      <c r="B40" s="17"/>
      <c r="C40" s="17"/>
      <c r="D40" s="17"/>
      <c r="E40" s="17"/>
      <c r="F40" s="17"/>
      <c r="G40" s="17"/>
      <c r="H40" s="89"/>
      <c r="J40" s="170" t="s">
        <v>36</v>
      </c>
      <c r="K40" s="171"/>
      <c r="L40" s="171"/>
      <c r="M40" s="172"/>
      <c r="N40" s="118">
        <v>75.040000000000006</v>
      </c>
    </row>
    <row r="41" spans="2:14" s="22" customFormat="1" ht="15.75" customHeight="1" x14ac:dyDescent="0.25">
      <c r="B41" s="17"/>
      <c r="C41" s="17"/>
      <c r="D41" s="17"/>
      <c r="E41" s="17"/>
      <c r="F41" s="17"/>
      <c r="G41" s="17"/>
      <c r="H41" s="89"/>
      <c r="J41" s="175" t="s">
        <v>42</v>
      </c>
      <c r="K41" s="176"/>
      <c r="L41" s="176"/>
      <c r="M41" s="177"/>
      <c r="N41" s="118">
        <v>449.9</v>
      </c>
    </row>
    <row r="43" spans="2:14" ht="10.15" customHeight="1" x14ac:dyDescent="0.2">
      <c r="B43" s="158" t="s">
        <v>43</v>
      </c>
      <c r="C43" s="159"/>
      <c r="D43" s="159"/>
      <c r="E43" s="159"/>
      <c r="F43" s="159"/>
      <c r="G43" s="159"/>
      <c r="H43" s="159"/>
      <c r="I43" s="159"/>
      <c r="J43" s="159"/>
      <c r="K43" s="159"/>
      <c r="L43" s="159"/>
      <c r="M43" s="159"/>
      <c r="N43" s="160"/>
    </row>
    <row r="44" spans="2:14" ht="10.15" customHeight="1" x14ac:dyDescent="0.2">
      <c r="B44" s="161"/>
      <c r="C44" s="162"/>
      <c r="D44" s="162"/>
      <c r="E44" s="162"/>
      <c r="F44" s="162"/>
      <c r="G44" s="162"/>
      <c r="H44" s="162"/>
      <c r="I44" s="162"/>
      <c r="J44" s="162"/>
      <c r="K44" s="162"/>
      <c r="L44" s="162"/>
      <c r="M44" s="162"/>
      <c r="N44" s="163"/>
    </row>
    <row r="45" spans="2:14" ht="10.15" customHeight="1" x14ac:dyDescent="0.2">
      <c r="B45" s="161"/>
      <c r="C45" s="162"/>
      <c r="D45" s="162"/>
      <c r="E45" s="162"/>
      <c r="F45" s="162"/>
      <c r="G45" s="162"/>
      <c r="H45" s="162"/>
      <c r="I45" s="162"/>
      <c r="J45" s="162"/>
      <c r="K45" s="162"/>
      <c r="L45" s="162"/>
      <c r="M45" s="162"/>
      <c r="N45" s="163"/>
    </row>
    <row r="46" spans="2:14" ht="10.15" customHeight="1" x14ac:dyDescent="0.2">
      <c r="B46" s="161"/>
      <c r="C46" s="162"/>
      <c r="D46" s="162"/>
      <c r="E46" s="162"/>
      <c r="F46" s="162"/>
      <c r="G46" s="162"/>
      <c r="H46" s="162"/>
      <c r="I46" s="162"/>
      <c r="J46" s="162"/>
      <c r="K46" s="162"/>
      <c r="L46" s="162"/>
      <c r="M46" s="162"/>
      <c r="N46" s="163"/>
    </row>
    <row r="47" spans="2:14" ht="10.15" customHeight="1" x14ac:dyDescent="0.2">
      <c r="B47" s="161"/>
      <c r="C47" s="162"/>
      <c r="D47" s="162"/>
      <c r="E47" s="162"/>
      <c r="F47" s="162"/>
      <c r="G47" s="162"/>
      <c r="H47" s="162"/>
      <c r="I47" s="162"/>
      <c r="J47" s="162"/>
      <c r="K47" s="162"/>
      <c r="L47" s="162"/>
      <c r="M47" s="162"/>
      <c r="N47" s="163"/>
    </row>
    <row r="48" spans="2:14" ht="10.15" customHeight="1" x14ac:dyDescent="0.2">
      <c r="B48" s="161"/>
      <c r="C48" s="162"/>
      <c r="D48" s="162"/>
      <c r="E48" s="162"/>
      <c r="F48" s="162"/>
      <c r="G48" s="162"/>
      <c r="H48" s="162"/>
      <c r="I48" s="162"/>
      <c r="J48" s="162"/>
      <c r="K48" s="162"/>
      <c r="L48" s="162"/>
      <c r="M48" s="162"/>
      <c r="N48" s="163"/>
    </row>
    <row r="49" spans="2:14" ht="10.15" customHeight="1" x14ac:dyDescent="0.2">
      <c r="B49" s="164"/>
      <c r="C49" s="165"/>
      <c r="D49" s="165"/>
      <c r="E49" s="165"/>
      <c r="F49" s="165"/>
      <c r="G49" s="165"/>
      <c r="H49" s="165"/>
      <c r="I49" s="165"/>
      <c r="J49" s="165"/>
      <c r="K49" s="165"/>
      <c r="L49" s="165"/>
      <c r="M49" s="165"/>
      <c r="N49" s="166"/>
    </row>
  </sheetData>
  <mergeCells count="27">
    <mergeCell ref="B6:C6"/>
    <mergeCell ref="D6:G6"/>
    <mergeCell ref="B8:G8"/>
    <mergeCell ref="J41:M41"/>
    <mergeCell ref="K6:L6"/>
    <mergeCell ref="M6:N6"/>
    <mergeCell ref="J32:M32"/>
    <mergeCell ref="J27:N27"/>
    <mergeCell ref="J28:M28"/>
    <mergeCell ref="J29:M29"/>
    <mergeCell ref="J30:M30"/>
    <mergeCell ref="J31:M31"/>
    <mergeCell ref="I8:L8"/>
    <mergeCell ref="M8:N8"/>
    <mergeCell ref="B43:N49"/>
    <mergeCell ref="J35:N35"/>
    <mergeCell ref="J36:M36"/>
    <mergeCell ref="J37:M37"/>
    <mergeCell ref="J38:M38"/>
    <mergeCell ref="J39:M39"/>
    <mergeCell ref="J40:M40"/>
    <mergeCell ref="B1:N1"/>
    <mergeCell ref="B2:N2"/>
    <mergeCell ref="B5:C5"/>
    <mergeCell ref="D5:G5"/>
    <mergeCell ref="K5:L5"/>
    <mergeCell ref="M5:N5"/>
  </mergeCells>
  <phoneticPr fontId="0" type="noConversion"/>
  <pageMargins left="0.7" right="0.7" top="0.75" bottom="0.75" header="0.3" footer="0.3"/>
  <pageSetup scale="69"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Z49"/>
  <sheetViews>
    <sheetView tabSelected="1" topLeftCell="A2" workbookViewId="0">
      <selection activeCell="P18" sqref="P18"/>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54" t="str">
        <f>Summary!B1</f>
        <v>Mountainseed Appraisal Management, LLC.</v>
      </c>
      <c r="C1" s="154"/>
      <c r="D1" s="154"/>
      <c r="E1" s="154"/>
      <c r="F1" s="154"/>
      <c r="G1" s="154"/>
      <c r="H1" s="154"/>
      <c r="I1" s="154"/>
      <c r="J1" s="154"/>
      <c r="K1" s="154"/>
      <c r="L1" s="154"/>
      <c r="M1" s="154"/>
      <c r="N1" s="154"/>
    </row>
    <row r="2" spans="2:26" s="1" customFormat="1" ht="20.25" customHeight="1" x14ac:dyDescent="0.25">
      <c r="B2" s="155" t="str">
        <f>Summary!B2</f>
        <v>Monthly Performance Report - Budgeted vs Actual Claims Paid</v>
      </c>
      <c r="C2" s="155"/>
      <c r="D2" s="155"/>
      <c r="E2" s="155"/>
      <c r="F2" s="155"/>
      <c r="G2" s="155"/>
      <c r="H2" s="155"/>
      <c r="I2" s="155"/>
      <c r="J2" s="155"/>
      <c r="K2" s="155"/>
      <c r="L2" s="155"/>
      <c r="M2" s="155"/>
      <c r="N2" s="155"/>
      <c r="O2" s="3"/>
      <c r="P2" s="3"/>
      <c r="Q2" s="4"/>
      <c r="R2" s="3"/>
      <c r="S2" s="3"/>
      <c r="T2" s="3"/>
      <c r="U2" s="3"/>
      <c r="V2" s="3"/>
      <c r="W2" s="3"/>
      <c r="X2" s="3"/>
      <c r="Y2" s="3"/>
      <c r="Z2" s="3"/>
    </row>
    <row r="3" spans="2:26" s="1" customFormat="1" ht="20.25" customHeight="1" x14ac:dyDescent="0.25">
      <c r="G3" s="5" t="s">
        <v>0</v>
      </c>
      <c r="H3" s="6">
        <f>Summary!H3</f>
        <v>45962</v>
      </c>
      <c r="I3" s="2" t="s">
        <v>1</v>
      </c>
      <c r="J3" s="6">
        <f>Summary!J3</f>
        <v>46326</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56" t="s">
        <v>2</v>
      </c>
      <c r="C5" s="156"/>
      <c r="D5" s="157" t="str">
        <f>Summary!D5</f>
        <v>S480</v>
      </c>
      <c r="E5" s="157"/>
      <c r="F5" s="157"/>
      <c r="G5" s="157"/>
      <c r="H5" s="15"/>
      <c r="I5" s="16"/>
      <c r="J5" s="16"/>
      <c r="K5" s="156" t="s">
        <v>3</v>
      </c>
      <c r="L5" s="156"/>
      <c r="M5" s="157" t="s">
        <v>60</v>
      </c>
      <c r="N5" s="157"/>
    </row>
    <row r="6" spans="2:26" s="1" customFormat="1" ht="20.25" customHeight="1" x14ac:dyDescent="0.25">
      <c r="B6" s="156" t="s">
        <v>4</v>
      </c>
      <c r="C6" s="156"/>
      <c r="D6" s="157" t="s">
        <v>57</v>
      </c>
      <c r="E6" s="157"/>
      <c r="F6" s="157"/>
      <c r="G6" s="157"/>
      <c r="H6" s="15"/>
      <c r="I6" s="12"/>
      <c r="J6" s="12"/>
      <c r="K6" s="156" t="s">
        <v>5</v>
      </c>
      <c r="L6" s="156"/>
      <c r="M6" s="157" t="s">
        <v>61</v>
      </c>
      <c r="N6" s="157"/>
    </row>
    <row r="7" spans="2:26" ht="21" customHeight="1" thickBot="1" x14ac:dyDescent="0.25">
      <c r="C7" s="18"/>
      <c r="D7" s="18"/>
      <c r="E7" s="18"/>
    </row>
    <row r="8" spans="2:26" s="22" customFormat="1" ht="15.75" customHeight="1" thickBot="1" x14ac:dyDescent="0.25">
      <c r="B8" s="173" t="s">
        <v>6</v>
      </c>
      <c r="C8" s="174"/>
      <c r="D8" s="174"/>
      <c r="E8" s="174"/>
      <c r="F8" s="174"/>
      <c r="G8" s="174"/>
      <c r="H8" s="21" t="s">
        <v>7</v>
      </c>
      <c r="I8" s="184" t="s">
        <v>8</v>
      </c>
      <c r="J8" s="184"/>
      <c r="K8" s="184"/>
      <c r="L8" s="185"/>
      <c r="M8" s="186" t="s">
        <v>9</v>
      </c>
      <c r="N8" s="185"/>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90">
        <v>45962</v>
      </c>
      <c r="C12" s="50">
        <v>21</v>
      </c>
      <c r="D12" s="50">
        <v>12</v>
      </c>
      <c r="E12" s="50">
        <v>3</v>
      </c>
      <c r="F12" s="50">
        <v>10</v>
      </c>
      <c r="G12" s="51">
        <f>SUM(C12:F12)</f>
        <v>46</v>
      </c>
      <c r="H12" s="52">
        <f>(C12*$E$29)+(D12*$E$30)+(E12*$E$31)+(F12*$E$32)</f>
        <v>255.29999999999998</v>
      </c>
      <c r="I12" s="53">
        <f>(C12*$C$29)+(D12*$C$30)+(E12*$C$31)+(F12*$C$32)</f>
        <v>4239.8</v>
      </c>
      <c r="J12" s="54">
        <v>0</v>
      </c>
      <c r="K12" s="54">
        <v>0</v>
      </c>
      <c r="L12" s="51">
        <v>0</v>
      </c>
      <c r="M12" s="53">
        <f>I12-K12</f>
        <v>4239.8</v>
      </c>
      <c r="N12" s="55">
        <f>K12/I12</f>
        <v>0</v>
      </c>
      <c r="Q12" s="49"/>
      <c r="R12" s="49"/>
    </row>
    <row r="13" spans="2:26" s="22" customFormat="1" ht="15.75" customHeight="1" x14ac:dyDescent="0.2">
      <c r="B13" s="90">
        <v>45992</v>
      </c>
      <c r="C13" s="50">
        <v>21</v>
      </c>
      <c r="D13" s="50">
        <v>12</v>
      </c>
      <c r="E13" s="50">
        <v>3</v>
      </c>
      <c r="F13" s="50">
        <v>10</v>
      </c>
      <c r="G13" s="51">
        <f t="shared" ref="G13:G19" si="0">SUM(C13:F13)</f>
        <v>46</v>
      </c>
      <c r="H13" s="52">
        <f t="shared" ref="H13:H23" si="1">(C13*$E$29)+(D13*$E$30)+(E13*$E$31)+(F13*$E$32)</f>
        <v>255.29999999999998</v>
      </c>
      <c r="I13" s="53">
        <f t="shared" ref="I13:I23" si="2">(C13*$C$29)+(D13*$C$30)+(E13*$C$31)+(F13*$C$32)</f>
        <v>4239.8</v>
      </c>
      <c r="J13" s="54">
        <v>14268.39</v>
      </c>
      <c r="K13" s="54">
        <v>9081.83</v>
      </c>
      <c r="L13" s="51">
        <v>31</v>
      </c>
      <c r="M13" s="53">
        <f t="shared" ref="M13:M23" si="3">I13-K13</f>
        <v>-4842.03</v>
      </c>
      <c r="N13" s="55">
        <f t="shared" ref="N13:N19" si="4">K13/I13</f>
        <v>2.1420420774564839</v>
      </c>
      <c r="Q13" s="10"/>
      <c r="R13" s="49"/>
    </row>
    <row r="14" spans="2:26" s="22" customFormat="1" ht="15.75" customHeight="1" x14ac:dyDescent="0.2">
      <c r="B14" s="90">
        <v>46023</v>
      </c>
      <c r="C14" s="50">
        <v>21</v>
      </c>
      <c r="D14" s="50">
        <v>12</v>
      </c>
      <c r="E14" s="50">
        <v>3</v>
      </c>
      <c r="F14" s="50">
        <v>10</v>
      </c>
      <c r="G14" s="51">
        <f t="shared" si="0"/>
        <v>46</v>
      </c>
      <c r="H14" s="52">
        <f t="shared" si="1"/>
        <v>255.29999999999998</v>
      </c>
      <c r="I14" s="53">
        <f t="shared" si="2"/>
        <v>4239.8</v>
      </c>
      <c r="J14" s="54">
        <v>4336.2</v>
      </c>
      <c r="K14" s="54">
        <v>2202.44</v>
      </c>
      <c r="L14" s="51">
        <v>6</v>
      </c>
      <c r="M14" s="53">
        <f t="shared" si="3"/>
        <v>2037.3600000000001</v>
      </c>
      <c r="N14" s="55">
        <f t="shared" si="4"/>
        <v>0.51946789942921834</v>
      </c>
      <c r="Q14" s="10"/>
      <c r="R14" s="49"/>
    </row>
    <row r="15" spans="2:26" s="22" customFormat="1" ht="15.75" customHeight="1" x14ac:dyDescent="0.2">
      <c r="B15" s="90">
        <v>46054</v>
      </c>
      <c r="C15" s="50">
        <v>19</v>
      </c>
      <c r="D15" s="50">
        <v>12</v>
      </c>
      <c r="E15" s="50">
        <v>3</v>
      </c>
      <c r="F15" s="50">
        <v>9</v>
      </c>
      <c r="G15" s="51">
        <f t="shared" si="0"/>
        <v>43</v>
      </c>
      <c r="H15" s="52">
        <f t="shared" si="1"/>
        <v>238.65</v>
      </c>
      <c r="I15" s="53">
        <f t="shared" si="2"/>
        <v>3994.3</v>
      </c>
      <c r="J15" s="54">
        <v>3302</v>
      </c>
      <c r="K15" s="54">
        <v>2062.8000000000002</v>
      </c>
      <c r="L15" s="51">
        <v>8</v>
      </c>
      <c r="M15" s="53">
        <f t="shared" si="3"/>
        <v>1931.5</v>
      </c>
      <c r="N15" s="55">
        <f t="shared" si="4"/>
        <v>0.51643592118769244</v>
      </c>
      <c r="Q15" s="10"/>
      <c r="R15" s="49"/>
    </row>
    <row r="16" spans="2:26" s="22" customFormat="1" ht="15.75" customHeight="1" x14ac:dyDescent="0.2">
      <c r="B16" s="90">
        <v>46082</v>
      </c>
      <c r="C16" s="50">
        <v>20</v>
      </c>
      <c r="D16" s="50">
        <v>12</v>
      </c>
      <c r="E16" s="50">
        <v>3</v>
      </c>
      <c r="F16" s="50">
        <v>9</v>
      </c>
      <c r="G16" s="51">
        <f t="shared" si="0"/>
        <v>44</v>
      </c>
      <c r="H16" s="52">
        <f t="shared" si="1"/>
        <v>244.2</v>
      </c>
      <c r="I16" s="53">
        <f t="shared" si="2"/>
        <v>4051.55</v>
      </c>
      <c r="J16" s="54">
        <v>5501.09</v>
      </c>
      <c r="K16" s="54">
        <v>3127.92</v>
      </c>
      <c r="L16" s="51">
        <v>11</v>
      </c>
      <c r="M16" s="53">
        <f t="shared" si="3"/>
        <v>923.63000000000011</v>
      </c>
      <c r="N16" s="55">
        <f t="shared" si="4"/>
        <v>0.77203045747923638</v>
      </c>
      <c r="Q16" s="10"/>
      <c r="R16" s="49"/>
    </row>
    <row r="17" spans="2:18" s="22" customFormat="1" ht="15.75" customHeight="1" x14ac:dyDescent="0.2">
      <c r="B17" s="90">
        <v>46113</v>
      </c>
      <c r="C17" s="50">
        <v>20</v>
      </c>
      <c r="D17" s="50">
        <v>12</v>
      </c>
      <c r="E17" s="50">
        <v>3</v>
      </c>
      <c r="F17" s="50">
        <v>9</v>
      </c>
      <c r="G17" s="51">
        <f t="shared" si="0"/>
        <v>44</v>
      </c>
      <c r="H17" s="52">
        <f t="shared" si="1"/>
        <v>244.2</v>
      </c>
      <c r="I17" s="53">
        <f t="shared" si="2"/>
        <v>4051.55</v>
      </c>
      <c r="J17" s="54">
        <v>20224.5</v>
      </c>
      <c r="K17" s="54">
        <v>8873.2999999999993</v>
      </c>
      <c r="L17" s="51">
        <v>31</v>
      </c>
      <c r="M17" s="53">
        <f t="shared" si="3"/>
        <v>-4821.7499999999991</v>
      </c>
      <c r="N17" s="55">
        <f t="shared" si="4"/>
        <v>2.1901000851525958</v>
      </c>
      <c r="Q17" s="10"/>
      <c r="R17" s="49"/>
    </row>
    <row r="18" spans="2:18" s="22" customFormat="1" ht="15.75" customHeight="1" x14ac:dyDescent="0.2">
      <c r="B18" s="90">
        <v>46143</v>
      </c>
      <c r="C18" s="50">
        <v>20</v>
      </c>
      <c r="D18" s="50">
        <v>12</v>
      </c>
      <c r="E18" s="50">
        <v>3</v>
      </c>
      <c r="F18" s="50">
        <v>9</v>
      </c>
      <c r="G18" s="51">
        <f t="shared" si="0"/>
        <v>44</v>
      </c>
      <c r="H18" s="52">
        <f t="shared" si="1"/>
        <v>244.2</v>
      </c>
      <c r="I18" s="53">
        <f t="shared" si="2"/>
        <v>4051.55</v>
      </c>
      <c r="J18" s="54">
        <v>10007</v>
      </c>
      <c r="K18" s="54">
        <v>5422</v>
      </c>
      <c r="L18" s="51">
        <v>24</v>
      </c>
      <c r="M18" s="53">
        <f t="shared" si="3"/>
        <v>-1370.4499999999998</v>
      </c>
      <c r="N18" s="55">
        <f t="shared" si="4"/>
        <v>1.3382532610976046</v>
      </c>
      <c r="Q18" s="10"/>
      <c r="R18" s="49"/>
    </row>
    <row r="19" spans="2:18" s="22" customFormat="1" ht="15.75" customHeight="1" x14ac:dyDescent="0.2">
      <c r="B19" s="90">
        <v>46174</v>
      </c>
      <c r="C19" s="50">
        <v>20</v>
      </c>
      <c r="D19" s="50">
        <v>12</v>
      </c>
      <c r="E19" s="50">
        <v>3</v>
      </c>
      <c r="F19" s="50">
        <v>9</v>
      </c>
      <c r="G19" s="51">
        <f t="shared" si="0"/>
        <v>44</v>
      </c>
      <c r="H19" s="52">
        <f t="shared" si="1"/>
        <v>244.2</v>
      </c>
      <c r="I19" s="53">
        <f t="shared" si="2"/>
        <v>4051.55</v>
      </c>
      <c r="J19" s="54">
        <v>1989</v>
      </c>
      <c r="K19" s="54">
        <v>1747.1</v>
      </c>
      <c r="L19" s="51">
        <v>8</v>
      </c>
      <c r="M19" s="53">
        <f t="shared" si="3"/>
        <v>2304.4500000000003</v>
      </c>
      <c r="N19" s="55">
        <f t="shared" si="4"/>
        <v>0.43121768212165712</v>
      </c>
      <c r="Q19" s="10"/>
      <c r="R19" s="49"/>
    </row>
    <row r="20" spans="2:18" s="22" customFormat="1" ht="15.75" customHeight="1" x14ac:dyDescent="0.2">
      <c r="B20" s="90">
        <v>46204</v>
      </c>
      <c r="C20" s="50"/>
      <c r="D20" s="50"/>
      <c r="E20" s="50"/>
      <c r="F20" s="50"/>
      <c r="G20" s="51">
        <f t="shared" ref="G20:G23" si="5">SUM(C20:F20)</f>
        <v>0</v>
      </c>
      <c r="H20" s="52">
        <f t="shared" si="1"/>
        <v>0</v>
      </c>
      <c r="I20" s="53">
        <f t="shared" si="2"/>
        <v>0</v>
      </c>
      <c r="J20" s="54"/>
      <c r="K20" s="54"/>
      <c r="L20" s="51"/>
      <c r="M20" s="53">
        <f t="shared" si="3"/>
        <v>0</v>
      </c>
      <c r="N20" s="55"/>
      <c r="Q20" s="10"/>
      <c r="R20" s="49"/>
    </row>
    <row r="21" spans="2:18" s="22" customFormat="1" ht="15.75" customHeight="1" x14ac:dyDescent="0.2">
      <c r="B21" s="90">
        <v>46235</v>
      </c>
      <c r="C21" s="50"/>
      <c r="D21" s="50"/>
      <c r="E21" s="50"/>
      <c r="F21" s="50"/>
      <c r="G21" s="51">
        <f t="shared" si="5"/>
        <v>0</v>
      </c>
      <c r="H21" s="52">
        <f t="shared" si="1"/>
        <v>0</v>
      </c>
      <c r="I21" s="53">
        <f t="shared" si="2"/>
        <v>0</v>
      </c>
      <c r="J21" s="54"/>
      <c r="K21" s="54"/>
      <c r="L21" s="51"/>
      <c r="M21" s="53">
        <f t="shared" si="3"/>
        <v>0</v>
      </c>
      <c r="N21" s="55"/>
      <c r="Q21" s="10"/>
      <c r="R21" s="49"/>
    </row>
    <row r="22" spans="2:18" s="22" customFormat="1" ht="15.75" customHeight="1" x14ac:dyDescent="0.2">
      <c r="B22" s="90">
        <v>46266</v>
      </c>
      <c r="C22" s="50"/>
      <c r="D22" s="50"/>
      <c r="E22" s="50"/>
      <c r="F22" s="50"/>
      <c r="G22" s="51">
        <f t="shared" si="5"/>
        <v>0</v>
      </c>
      <c r="H22" s="52">
        <f t="shared" si="1"/>
        <v>0</v>
      </c>
      <c r="I22" s="53">
        <f t="shared" si="2"/>
        <v>0</v>
      </c>
      <c r="J22" s="54"/>
      <c r="K22" s="54"/>
      <c r="L22" s="51"/>
      <c r="M22" s="53">
        <f t="shared" si="3"/>
        <v>0</v>
      </c>
      <c r="N22" s="125"/>
      <c r="Q22" s="10"/>
      <c r="R22" s="49"/>
    </row>
    <row r="23" spans="2:18" s="22" customFormat="1" ht="15.75" customHeight="1" x14ac:dyDescent="0.2">
      <c r="B23" s="90">
        <v>46296</v>
      </c>
      <c r="C23" s="50"/>
      <c r="D23" s="50"/>
      <c r="E23" s="50"/>
      <c r="F23" s="50"/>
      <c r="G23" s="51">
        <f t="shared" si="5"/>
        <v>0</v>
      </c>
      <c r="H23" s="52">
        <f t="shared" si="1"/>
        <v>0</v>
      </c>
      <c r="I23" s="53">
        <f t="shared" si="2"/>
        <v>0</v>
      </c>
      <c r="J23" s="54"/>
      <c r="K23" s="54"/>
      <c r="L23" s="51"/>
      <c r="M23" s="53">
        <f t="shared" si="3"/>
        <v>0</v>
      </c>
      <c r="N23" s="125"/>
      <c r="Q23" s="10"/>
      <c r="R23" s="49"/>
    </row>
    <row r="24" spans="2:18" s="22" customFormat="1" ht="15.75" customHeight="1" thickBot="1" x14ac:dyDescent="0.25">
      <c r="B24" s="56"/>
      <c r="C24" s="57"/>
      <c r="D24" s="57"/>
      <c r="E24" s="57"/>
      <c r="F24" s="57"/>
      <c r="G24" s="58"/>
      <c r="H24" s="59"/>
      <c r="I24" s="60"/>
      <c r="J24" s="61"/>
      <c r="K24" s="62"/>
      <c r="L24" s="63"/>
      <c r="M24" s="64"/>
      <c r="N24" s="65"/>
    </row>
    <row r="25" spans="2:18" s="72" customFormat="1" ht="15.75" customHeight="1" thickBot="1" x14ac:dyDescent="0.3">
      <c r="B25" s="66" t="s">
        <v>24</v>
      </c>
      <c r="C25" s="67">
        <f>AVERAGEIF(C12:C23,"&gt;0")</f>
        <v>20.25</v>
      </c>
      <c r="D25" s="67">
        <f>AVERAGEIF(D12:D23,"&gt;0")</f>
        <v>12</v>
      </c>
      <c r="E25" s="67">
        <f>AVERAGEIF(E12:E23,"&gt;0")</f>
        <v>3</v>
      </c>
      <c r="F25" s="67">
        <f>AVERAGEIF(F12:F23,"&gt;0")</f>
        <v>9.375</v>
      </c>
      <c r="G25" s="67">
        <f>AVERAGEIF(G12:G23,"&gt;0")</f>
        <v>44.625</v>
      </c>
      <c r="H25" s="68">
        <f>SUM(H11:H23)</f>
        <v>1981.3500000000001</v>
      </c>
      <c r="I25" s="68">
        <f>SUM(I11:I23)</f>
        <v>32919.9</v>
      </c>
      <c r="J25" s="69">
        <f>SUM(J11:J23)</f>
        <v>59628.18</v>
      </c>
      <c r="K25" s="70">
        <f>SUM(K11:K23)</f>
        <v>32517.389999999996</v>
      </c>
      <c r="L25" s="71">
        <f>SUM(L12:L23)</f>
        <v>119</v>
      </c>
      <c r="M25" s="68">
        <f>SUM(M12:M23)</f>
        <v>402.51000000000158</v>
      </c>
      <c r="N25" s="153">
        <f>K25/I25</f>
        <v>0.98777304912833863</v>
      </c>
    </row>
    <row r="26" spans="2:18" s="22" customFormat="1" ht="15.75" customHeight="1" x14ac:dyDescent="0.2">
      <c r="J26" s="73"/>
      <c r="L26" s="74"/>
    </row>
    <row r="27" spans="2:18" s="22" customFormat="1" ht="15.75" customHeight="1" x14ac:dyDescent="0.25">
      <c r="B27" s="187" t="s">
        <v>25</v>
      </c>
      <c r="C27" s="188"/>
      <c r="D27" s="188"/>
      <c r="E27" s="188"/>
      <c r="F27" s="188"/>
      <c r="G27" s="189"/>
      <c r="H27" s="75"/>
      <c r="J27" s="181" t="s">
        <v>26</v>
      </c>
      <c r="K27" s="182"/>
      <c r="L27" s="182"/>
      <c r="M27" s="182"/>
      <c r="N27" s="183"/>
    </row>
    <row r="28" spans="2:18" s="22" customFormat="1" ht="15.75" customHeight="1" x14ac:dyDescent="0.2">
      <c r="B28" s="76"/>
      <c r="C28" s="182" t="s">
        <v>27</v>
      </c>
      <c r="D28" s="183"/>
      <c r="E28" s="190" t="s">
        <v>28</v>
      </c>
      <c r="F28" s="183"/>
      <c r="G28" s="77" t="s">
        <v>16</v>
      </c>
      <c r="H28" s="73"/>
      <c r="J28" s="178" t="s">
        <v>29</v>
      </c>
      <c r="K28" s="179"/>
      <c r="L28" s="179"/>
      <c r="M28" s="180"/>
      <c r="N28" s="78">
        <f>J25/L25</f>
        <v>501.07714285714286</v>
      </c>
    </row>
    <row r="29" spans="2:18" s="22" customFormat="1" ht="15.75" customHeight="1" x14ac:dyDescent="0.2">
      <c r="B29" s="79" t="s">
        <v>30</v>
      </c>
      <c r="C29" s="191">
        <v>57.25</v>
      </c>
      <c r="D29" s="192"/>
      <c r="E29" s="193">
        <v>5.55</v>
      </c>
      <c r="F29" s="192"/>
      <c r="G29" s="80">
        <f>C29+E29</f>
        <v>62.8</v>
      </c>
      <c r="H29" s="81"/>
      <c r="J29" s="178" t="s">
        <v>31</v>
      </c>
      <c r="K29" s="179"/>
      <c r="L29" s="179"/>
      <c r="M29" s="180"/>
      <c r="N29" s="78">
        <f>K25/L25</f>
        <v>273.25537815126046</v>
      </c>
    </row>
    <row r="30" spans="2:18" s="22" customFormat="1" ht="15.75" customHeight="1" x14ac:dyDescent="0.2">
      <c r="B30" s="82" t="str">
        <f>IF(D10="E+1","EE &amp; One","EE &amp; Spouse")</f>
        <v>EE &amp; Spouse</v>
      </c>
      <c r="C30" s="191">
        <v>114.5</v>
      </c>
      <c r="D30" s="192"/>
      <c r="E30" s="193">
        <v>5.55</v>
      </c>
      <c r="F30" s="192"/>
      <c r="G30" s="80">
        <f>C30+E30</f>
        <v>120.05</v>
      </c>
      <c r="H30" s="81"/>
      <c r="J30" s="178" t="s">
        <v>32</v>
      </c>
      <c r="K30" s="179"/>
      <c r="L30" s="179"/>
      <c r="M30" s="180"/>
      <c r="N30" s="83">
        <f>((L25/COUNTIF(G12:G23,"&gt;0"))*12)/G25</f>
        <v>4</v>
      </c>
    </row>
    <row r="31" spans="2:18" s="22" customFormat="1" ht="15.75" customHeight="1" x14ac:dyDescent="0.2">
      <c r="B31" s="79" t="s">
        <v>33</v>
      </c>
      <c r="C31" s="191">
        <v>117.85</v>
      </c>
      <c r="D31" s="192"/>
      <c r="E31" s="193">
        <v>5.55</v>
      </c>
      <c r="F31" s="192"/>
      <c r="G31" s="80">
        <f>C31+E31</f>
        <v>123.39999999999999</v>
      </c>
      <c r="H31" s="81"/>
      <c r="J31" s="178" t="s">
        <v>34</v>
      </c>
      <c r="K31" s="179"/>
      <c r="L31" s="179"/>
      <c r="M31" s="180"/>
      <c r="N31" s="84">
        <f>K25/J25</f>
        <v>0.54533594686270814</v>
      </c>
    </row>
    <row r="32" spans="2:18" s="22" customFormat="1" ht="15.75" customHeight="1" x14ac:dyDescent="0.2">
      <c r="B32" s="79" t="s">
        <v>35</v>
      </c>
      <c r="C32" s="191">
        <v>131</v>
      </c>
      <c r="D32" s="192"/>
      <c r="E32" s="193">
        <v>5.55</v>
      </c>
      <c r="F32" s="192"/>
      <c r="G32" s="80">
        <f>C32+E32</f>
        <v>136.55000000000001</v>
      </c>
      <c r="H32" s="81"/>
      <c r="J32" s="178" t="s">
        <v>36</v>
      </c>
      <c r="K32" s="179"/>
      <c r="L32" s="179"/>
      <c r="M32" s="180"/>
      <c r="N32" s="78">
        <f>K25/G25/(COUNTIF(G12:G23,"&gt;0"))</f>
        <v>91.085126050420158</v>
      </c>
    </row>
    <row r="33" spans="2:14" s="22" customFormat="1" ht="15.75" customHeight="1" x14ac:dyDescent="0.2">
      <c r="C33" s="81"/>
      <c r="D33" s="81"/>
      <c r="E33" s="81"/>
      <c r="F33" s="85"/>
      <c r="G33" s="81"/>
      <c r="H33" s="81"/>
      <c r="J33" s="86"/>
      <c r="K33" s="86"/>
      <c r="L33" s="86"/>
      <c r="M33" s="86"/>
      <c r="N33" s="87"/>
    </row>
    <row r="34" spans="2:14" s="22" customFormat="1" ht="15.75" customHeight="1" thickBot="1" x14ac:dyDescent="0.25">
      <c r="J34" s="73"/>
      <c r="L34" s="74"/>
    </row>
    <row r="35" spans="2:14" s="22" customFormat="1" ht="15.75" customHeight="1" thickBot="1" x14ac:dyDescent="0.3">
      <c r="B35" s="209" t="s">
        <v>37</v>
      </c>
      <c r="C35" s="209"/>
      <c r="D35" s="209"/>
      <c r="E35" s="209"/>
      <c r="F35" s="209"/>
      <c r="G35" s="209"/>
      <c r="H35" s="75"/>
      <c r="J35" s="197" t="s">
        <v>41</v>
      </c>
      <c r="K35" s="198"/>
      <c r="L35" s="198"/>
      <c r="M35" s="198"/>
      <c r="N35" s="199"/>
    </row>
    <row r="36" spans="2:14" s="22" customFormat="1" ht="15.75" customHeight="1" x14ac:dyDescent="0.2">
      <c r="B36" s="210" t="s">
        <v>79</v>
      </c>
      <c r="C36" s="211"/>
      <c r="D36" s="211"/>
      <c r="E36" s="211"/>
      <c r="F36" s="211"/>
      <c r="G36" s="212"/>
      <c r="H36" s="89"/>
      <c r="J36" s="200" t="s">
        <v>29</v>
      </c>
      <c r="K36" s="201"/>
      <c r="L36" s="201"/>
      <c r="M36" s="202"/>
      <c r="N36" s="121">
        <v>474.04</v>
      </c>
    </row>
    <row r="37" spans="2:14" s="22" customFormat="1" ht="15.75" customHeight="1" x14ac:dyDescent="0.2">
      <c r="B37" s="203" t="s">
        <v>62</v>
      </c>
      <c r="C37" s="204"/>
      <c r="D37" s="204"/>
      <c r="E37" s="204"/>
      <c r="F37" s="204"/>
      <c r="G37" s="205"/>
      <c r="H37" s="89"/>
      <c r="J37" s="200" t="s">
        <v>31</v>
      </c>
      <c r="K37" s="201"/>
      <c r="L37" s="201"/>
      <c r="M37" s="202"/>
      <c r="N37" s="121">
        <v>334.29</v>
      </c>
    </row>
    <row r="38" spans="2:14" s="22" customFormat="1" ht="15.75" customHeight="1" x14ac:dyDescent="0.2">
      <c r="B38" s="203" t="s">
        <v>63</v>
      </c>
      <c r="C38" s="204"/>
      <c r="D38" s="204"/>
      <c r="E38" s="204"/>
      <c r="F38" s="204"/>
      <c r="G38" s="205"/>
      <c r="H38" s="89"/>
      <c r="J38" s="200" t="s">
        <v>32</v>
      </c>
      <c r="K38" s="201"/>
      <c r="L38" s="201"/>
      <c r="M38" s="202"/>
      <c r="N38" s="122">
        <v>3.39</v>
      </c>
    </row>
    <row r="39" spans="2:14" s="22" customFormat="1" ht="15.75" customHeight="1" x14ac:dyDescent="0.2">
      <c r="B39" s="203" t="s">
        <v>64</v>
      </c>
      <c r="C39" s="204"/>
      <c r="D39" s="204"/>
      <c r="E39" s="204"/>
      <c r="F39" s="204"/>
      <c r="G39" s="205"/>
      <c r="H39" s="89"/>
      <c r="J39" s="200" t="s">
        <v>34</v>
      </c>
      <c r="K39" s="201"/>
      <c r="L39" s="201"/>
      <c r="M39" s="202"/>
      <c r="N39" s="123">
        <v>0.70520000000000005</v>
      </c>
    </row>
    <row r="40" spans="2:14" s="22" customFormat="1" ht="15" thickBot="1" x14ac:dyDescent="0.25">
      <c r="B40" s="206" t="s">
        <v>65</v>
      </c>
      <c r="C40" s="207"/>
      <c r="D40" s="207"/>
      <c r="E40" s="207"/>
      <c r="F40" s="207"/>
      <c r="G40" s="208"/>
      <c r="H40" s="89"/>
      <c r="J40" s="200" t="s">
        <v>36</v>
      </c>
      <c r="K40" s="201"/>
      <c r="L40" s="201"/>
      <c r="M40" s="202"/>
      <c r="N40" s="121">
        <v>94.38</v>
      </c>
    </row>
    <row r="41" spans="2:14" ht="15" x14ac:dyDescent="0.25">
      <c r="J41" s="194" t="s">
        <v>42</v>
      </c>
      <c r="K41" s="195"/>
      <c r="L41" s="195"/>
      <c r="M41" s="196"/>
      <c r="N41" s="121">
        <v>-7409.76</v>
      </c>
    </row>
    <row r="43" spans="2:14" ht="10.15" customHeight="1" x14ac:dyDescent="0.2">
      <c r="B43" s="158" t="s">
        <v>43</v>
      </c>
      <c r="C43" s="159"/>
      <c r="D43" s="159"/>
      <c r="E43" s="159"/>
      <c r="F43" s="159"/>
      <c r="G43" s="159"/>
      <c r="H43" s="159"/>
      <c r="I43" s="159"/>
      <c r="J43" s="159"/>
      <c r="K43" s="159"/>
      <c r="L43" s="159"/>
      <c r="M43" s="159"/>
      <c r="N43" s="160"/>
    </row>
    <row r="44" spans="2:14" ht="10.15" customHeight="1" x14ac:dyDescent="0.2">
      <c r="B44" s="161"/>
      <c r="C44" s="162"/>
      <c r="D44" s="162"/>
      <c r="E44" s="162"/>
      <c r="F44" s="162"/>
      <c r="G44" s="162"/>
      <c r="H44" s="162"/>
      <c r="I44" s="162"/>
      <c r="J44" s="162"/>
      <c r="K44" s="162"/>
      <c r="L44" s="162"/>
      <c r="M44" s="162"/>
      <c r="N44" s="163"/>
    </row>
    <row r="45" spans="2:14" ht="10.15" customHeight="1" x14ac:dyDescent="0.2">
      <c r="B45" s="161"/>
      <c r="C45" s="162"/>
      <c r="D45" s="162"/>
      <c r="E45" s="162"/>
      <c r="F45" s="162"/>
      <c r="G45" s="162"/>
      <c r="H45" s="162"/>
      <c r="I45" s="162"/>
      <c r="J45" s="162"/>
      <c r="K45" s="162"/>
      <c r="L45" s="162"/>
      <c r="M45" s="162"/>
      <c r="N45" s="163"/>
    </row>
    <row r="46" spans="2:14" ht="10.15" customHeight="1" x14ac:dyDescent="0.2">
      <c r="B46" s="161"/>
      <c r="C46" s="162"/>
      <c r="D46" s="162"/>
      <c r="E46" s="162"/>
      <c r="F46" s="162"/>
      <c r="G46" s="162"/>
      <c r="H46" s="162"/>
      <c r="I46" s="162"/>
      <c r="J46" s="162"/>
      <c r="K46" s="162"/>
      <c r="L46" s="162"/>
      <c r="M46" s="162"/>
      <c r="N46" s="163"/>
    </row>
    <row r="47" spans="2:14" ht="10.15" customHeight="1" x14ac:dyDescent="0.2">
      <c r="B47" s="161"/>
      <c r="C47" s="162"/>
      <c r="D47" s="162"/>
      <c r="E47" s="162"/>
      <c r="F47" s="162"/>
      <c r="G47" s="162"/>
      <c r="H47" s="162"/>
      <c r="I47" s="162"/>
      <c r="J47" s="162"/>
      <c r="K47" s="162"/>
      <c r="L47" s="162"/>
      <c r="M47" s="162"/>
      <c r="N47" s="163"/>
    </row>
    <row r="48" spans="2:14" ht="10.15" customHeight="1" x14ac:dyDescent="0.2">
      <c r="B48" s="161"/>
      <c r="C48" s="162"/>
      <c r="D48" s="162"/>
      <c r="E48" s="162"/>
      <c r="F48" s="162"/>
      <c r="G48" s="162"/>
      <c r="H48" s="162"/>
      <c r="I48" s="162"/>
      <c r="J48" s="162"/>
      <c r="K48" s="162"/>
      <c r="L48" s="162"/>
      <c r="M48" s="162"/>
      <c r="N48" s="163"/>
    </row>
    <row r="49" spans="2:14" ht="10.15" customHeight="1" x14ac:dyDescent="0.2">
      <c r="B49" s="164"/>
      <c r="C49" s="165"/>
      <c r="D49" s="165"/>
      <c r="E49" s="165"/>
      <c r="F49" s="165"/>
      <c r="G49" s="165"/>
      <c r="H49" s="165"/>
      <c r="I49" s="165"/>
      <c r="J49" s="165"/>
      <c r="K49" s="165"/>
      <c r="L49" s="165"/>
      <c r="M49" s="165"/>
      <c r="N49" s="166"/>
    </row>
  </sheetData>
  <mergeCells count="44">
    <mergeCell ref="J41:M41"/>
    <mergeCell ref="B43:N49"/>
    <mergeCell ref="J35:N35"/>
    <mergeCell ref="J36:M36"/>
    <mergeCell ref="J37:M37"/>
    <mergeCell ref="J38:M38"/>
    <mergeCell ref="J39:M39"/>
    <mergeCell ref="J40:M40"/>
    <mergeCell ref="B37:G37"/>
    <mergeCell ref="B38:G38"/>
    <mergeCell ref="B39:G39"/>
    <mergeCell ref="B40:G40"/>
    <mergeCell ref="B35:G35"/>
    <mergeCell ref="B36:G36"/>
    <mergeCell ref="I8:L8"/>
    <mergeCell ref="M8:N8"/>
    <mergeCell ref="B1:N1"/>
    <mergeCell ref="B2:N2"/>
    <mergeCell ref="B5:C5"/>
    <mergeCell ref="D5:G5"/>
    <mergeCell ref="K5:L5"/>
    <mergeCell ref="M5:N5"/>
    <mergeCell ref="B6:C6"/>
    <mergeCell ref="D6:G6"/>
    <mergeCell ref="K6:L6"/>
    <mergeCell ref="M6:N6"/>
    <mergeCell ref="B8:G8"/>
    <mergeCell ref="J32:M32"/>
    <mergeCell ref="C29:D29"/>
    <mergeCell ref="E29:F29"/>
    <mergeCell ref="J29:M29"/>
    <mergeCell ref="C30:D30"/>
    <mergeCell ref="J30:M30"/>
    <mergeCell ref="C31:D31"/>
    <mergeCell ref="E31:F31"/>
    <mergeCell ref="J31:M31"/>
    <mergeCell ref="C32:D32"/>
    <mergeCell ref="E32:F32"/>
    <mergeCell ref="E30:F30"/>
    <mergeCell ref="B27:G27"/>
    <mergeCell ref="J27:N27"/>
    <mergeCell ref="C28:D28"/>
    <mergeCell ref="E28:F28"/>
    <mergeCell ref="J28:M28"/>
  </mergeCells>
  <phoneticPr fontId="0" type="noConversion"/>
  <pageMargins left="0.7" right="0.7" top="0.75" bottom="0.75" header="0.3" footer="0.3"/>
  <pageSetup scale="6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CD9C-65E5-47B0-83CD-4AF42DBBEB2D}">
  <dimension ref="B1:Z49"/>
  <sheetViews>
    <sheetView tabSelected="1" topLeftCell="A5" zoomScaleNormal="100" workbookViewId="0">
      <selection activeCell="P18" sqref="P18"/>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54" t="str">
        <f>Summary!B1</f>
        <v>Mountainseed Appraisal Management, LLC.</v>
      </c>
      <c r="C1" s="154"/>
      <c r="D1" s="154"/>
      <c r="E1" s="154"/>
      <c r="F1" s="154"/>
      <c r="G1" s="154"/>
      <c r="H1" s="154"/>
      <c r="I1" s="154"/>
      <c r="J1" s="154"/>
      <c r="K1" s="154"/>
      <c r="L1" s="154"/>
      <c r="M1" s="154"/>
      <c r="N1" s="154"/>
    </row>
    <row r="2" spans="2:26" s="1" customFormat="1" ht="20.25" customHeight="1" x14ac:dyDescent="0.25">
      <c r="B2" s="155" t="str">
        <f>Summary!B2</f>
        <v>Monthly Performance Report - Budgeted vs Actual Claims Paid</v>
      </c>
      <c r="C2" s="155"/>
      <c r="D2" s="155"/>
      <c r="E2" s="155"/>
      <c r="F2" s="155"/>
      <c r="G2" s="155"/>
      <c r="H2" s="155"/>
      <c r="I2" s="155"/>
      <c r="J2" s="155"/>
      <c r="K2" s="155"/>
      <c r="L2" s="155"/>
      <c r="M2" s="155"/>
      <c r="N2" s="155"/>
      <c r="O2" s="3"/>
      <c r="P2" s="3"/>
      <c r="Q2" s="4"/>
      <c r="R2" s="3"/>
      <c r="S2" s="3"/>
      <c r="T2" s="3"/>
      <c r="U2" s="3"/>
      <c r="V2" s="3"/>
      <c r="W2" s="3"/>
      <c r="X2" s="3"/>
      <c r="Y2" s="3"/>
      <c r="Z2" s="3"/>
    </row>
    <row r="3" spans="2:26" s="1" customFormat="1" ht="20.25" customHeight="1" x14ac:dyDescent="0.25">
      <c r="G3" s="5" t="s">
        <v>0</v>
      </c>
      <c r="H3" s="6">
        <f>Summary!H3</f>
        <v>45962</v>
      </c>
      <c r="I3" s="2" t="s">
        <v>1</v>
      </c>
      <c r="J3" s="6">
        <f>Summary!J3</f>
        <v>46326</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56" t="s">
        <v>2</v>
      </c>
      <c r="C5" s="156"/>
      <c r="D5" s="157" t="str">
        <f>Summary!D5</f>
        <v>S480</v>
      </c>
      <c r="E5" s="157"/>
      <c r="F5" s="157"/>
      <c r="G5" s="157"/>
      <c r="H5" s="15"/>
      <c r="I5" s="16"/>
      <c r="J5" s="16"/>
      <c r="K5" s="156" t="s">
        <v>3</v>
      </c>
      <c r="L5" s="156"/>
      <c r="M5" s="157" t="s">
        <v>55</v>
      </c>
      <c r="N5" s="157"/>
    </row>
    <row r="6" spans="2:26" s="1" customFormat="1" ht="20.25" customHeight="1" x14ac:dyDescent="0.25">
      <c r="B6" s="156" t="s">
        <v>4</v>
      </c>
      <c r="C6" s="156"/>
      <c r="D6" s="157" t="s">
        <v>57</v>
      </c>
      <c r="E6" s="157"/>
      <c r="F6" s="157"/>
      <c r="G6" s="157"/>
      <c r="H6" s="15"/>
      <c r="I6" s="12"/>
      <c r="J6" s="12"/>
      <c r="K6" s="156" t="s">
        <v>5</v>
      </c>
      <c r="L6" s="156"/>
      <c r="M6" s="157" t="s">
        <v>70</v>
      </c>
      <c r="N6" s="157"/>
    </row>
    <row r="7" spans="2:26" ht="21" customHeight="1" thickBot="1" x14ac:dyDescent="0.25">
      <c r="C7" s="18"/>
      <c r="D7" s="18"/>
      <c r="E7" s="18"/>
    </row>
    <row r="8" spans="2:26" s="22" customFormat="1" ht="15.75" customHeight="1" thickBot="1" x14ac:dyDescent="0.25">
      <c r="B8" s="173" t="s">
        <v>6</v>
      </c>
      <c r="C8" s="174"/>
      <c r="D8" s="174"/>
      <c r="E8" s="174"/>
      <c r="F8" s="174"/>
      <c r="G8" s="174"/>
      <c r="H8" s="21" t="s">
        <v>7</v>
      </c>
      <c r="I8" s="184" t="s">
        <v>8</v>
      </c>
      <c r="J8" s="184"/>
      <c r="K8" s="184"/>
      <c r="L8" s="185"/>
      <c r="M8" s="186" t="s">
        <v>9</v>
      </c>
      <c r="N8" s="185"/>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90">
        <f>Summary!B12</f>
        <v>45962</v>
      </c>
      <c r="C12" s="50">
        <v>11</v>
      </c>
      <c r="D12" s="50">
        <v>1</v>
      </c>
      <c r="E12" s="50">
        <v>0</v>
      </c>
      <c r="F12" s="50">
        <v>7</v>
      </c>
      <c r="G12" s="51">
        <f>SUM(C12:F12)</f>
        <v>19</v>
      </c>
      <c r="H12" s="52">
        <f>(C12*$E$29)+(D12*$E$30)+(E12*$E$31)+(F12*$E$32)</f>
        <v>105.44999999999999</v>
      </c>
      <c r="I12" s="53">
        <f>(C12*$C$29)+(D12*$C$30)+(E12*$C$31)+(F12*$C$32)</f>
        <v>3851.96</v>
      </c>
      <c r="J12" s="54">
        <v>0</v>
      </c>
      <c r="K12" s="54">
        <v>0</v>
      </c>
      <c r="L12" s="51">
        <v>0</v>
      </c>
      <c r="M12" s="53">
        <f>I12-K12</f>
        <v>3851.96</v>
      </c>
      <c r="N12" s="55">
        <f>K12/I12</f>
        <v>0</v>
      </c>
      <c r="Q12" s="49"/>
      <c r="R12" s="49"/>
    </row>
    <row r="13" spans="2:26" s="22" customFormat="1" ht="15.75" customHeight="1" x14ac:dyDescent="0.2">
      <c r="B13" s="90">
        <f>Summary!B13</f>
        <v>45992</v>
      </c>
      <c r="C13" s="50">
        <v>11</v>
      </c>
      <c r="D13" s="50">
        <v>1</v>
      </c>
      <c r="E13" s="50">
        <v>0</v>
      </c>
      <c r="F13" s="50">
        <v>4</v>
      </c>
      <c r="G13" s="51">
        <f t="shared" ref="G13:G23" si="0">SUM(C13:F13)</f>
        <v>16</v>
      </c>
      <c r="H13" s="52">
        <f t="shared" ref="H13:H23" si="1">(C13*$E$29)+(D13*$E$30)+(E13*$E$31)+(F13*$E$32)</f>
        <v>88.8</v>
      </c>
      <c r="I13" s="53">
        <f t="shared" ref="I13:I23" si="2">(C13*$C$29)+(D13*$C$30)+(E13*$C$31)+(F13*$C$32)</f>
        <v>2790.17</v>
      </c>
      <c r="J13" s="54">
        <v>3996</v>
      </c>
      <c r="K13" s="54">
        <v>2939</v>
      </c>
      <c r="L13" s="51">
        <v>5</v>
      </c>
      <c r="M13" s="53">
        <f t="shared" ref="M13:M23" si="3">I13-K13</f>
        <v>-148.82999999999993</v>
      </c>
      <c r="N13" s="55">
        <f t="shared" ref="N13:N19" si="4">K13/I13</f>
        <v>1.0533408358630478</v>
      </c>
      <c r="Q13" s="10"/>
      <c r="R13" s="49"/>
    </row>
    <row r="14" spans="2:26" s="22" customFormat="1" ht="15.75" customHeight="1" x14ac:dyDescent="0.2">
      <c r="B14" s="90">
        <f>Summary!B14</f>
        <v>46023</v>
      </c>
      <c r="C14" s="50">
        <v>11</v>
      </c>
      <c r="D14" s="50">
        <v>1</v>
      </c>
      <c r="E14" s="50"/>
      <c r="F14" s="50">
        <f>1+3</f>
        <v>4</v>
      </c>
      <c r="G14" s="51">
        <f t="shared" si="0"/>
        <v>16</v>
      </c>
      <c r="H14" s="52">
        <f t="shared" si="1"/>
        <v>88.8</v>
      </c>
      <c r="I14" s="53">
        <f t="shared" si="2"/>
        <v>2790.17</v>
      </c>
      <c r="J14" s="54">
        <v>95</v>
      </c>
      <c r="K14" s="54">
        <v>95</v>
      </c>
      <c r="L14" s="51">
        <v>1</v>
      </c>
      <c r="M14" s="53">
        <f t="shared" si="3"/>
        <v>2695.17</v>
      </c>
      <c r="N14" s="55">
        <f t="shared" si="4"/>
        <v>3.4048104595777319E-2</v>
      </c>
      <c r="Q14" s="10"/>
      <c r="R14" s="49"/>
    </row>
    <row r="15" spans="2:26" s="22" customFormat="1" ht="15.75" customHeight="1" x14ac:dyDescent="0.2">
      <c r="B15" s="90">
        <f>Summary!B15</f>
        <v>46054</v>
      </c>
      <c r="C15" s="50">
        <v>11</v>
      </c>
      <c r="D15" s="50">
        <v>1</v>
      </c>
      <c r="E15" s="50"/>
      <c r="F15" s="50">
        <f>1+2</f>
        <v>3</v>
      </c>
      <c r="G15" s="51">
        <f t="shared" si="0"/>
        <v>15</v>
      </c>
      <c r="H15" s="52">
        <f t="shared" si="1"/>
        <v>83.25</v>
      </c>
      <c r="I15" s="53">
        <f t="shared" si="2"/>
        <v>2436.2399999999998</v>
      </c>
      <c r="J15" s="54">
        <v>5900</v>
      </c>
      <c r="K15" s="54">
        <v>3669.6</v>
      </c>
      <c r="L15" s="51">
        <v>2</v>
      </c>
      <c r="M15" s="53">
        <f t="shared" si="3"/>
        <v>-1233.3600000000001</v>
      </c>
      <c r="N15" s="55">
        <f t="shared" si="4"/>
        <v>1.5062555413259779</v>
      </c>
      <c r="Q15" s="10"/>
      <c r="R15" s="49"/>
    </row>
    <row r="16" spans="2:26" s="22" customFormat="1" ht="15.75" customHeight="1" x14ac:dyDescent="0.2">
      <c r="B16" s="90">
        <f>Summary!B16</f>
        <v>46082</v>
      </c>
      <c r="C16" s="50">
        <v>11</v>
      </c>
      <c r="D16" s="50">
        <v>1</v>
      </c>
      <c r="E16" s="50">
        <v>1</v>
      </c>
      <c r="F16" s="50">
        <f>1+2</f>
        <v>3</v>
      </c>
      <c r="G16" s="51">
        <f t="shared" si="0"/>
        <v>16</v>
      </c>
      <c r="H16" s="52">
        <f t="shared" si="1"/>
        <v>88.799999999999983</v>
      </c>
      <c r="I16" s="53">
        <f t="shared" si="2"/>
        <v>2657.81</v>
      </c>
      <c r="J16" s="54">
        <v>1719</v>
      </c>
      <c r="K16" s="54">
        <v>1003</v>
      </c>
      <c r="L16" s="51">
        <v>3</v>
      </c>
      <c r="M16" s="53">
        <f t="shared" si="3"/>
        <v>1654.81</v>
      </c>
      <c r="N16" s="55">
        <f t="shared" si="4"/>
        <v>0.37737836790440249</v>
      </c>
      <c r="Q16" s="10"/>
      <c r="R16" s="49"/>
    </row>
    <row r="17" spans="2:18" s="22" customFormat="1" ht="15.75" customHeight="1" x14ac:dyDescent="0.2">
      <c r="B17" s="90">
        <f>Summary!B17</f>
        <v>46113</v>
      </c>
      <c r="C17" s="50">
        <v>11</v>
      </c>
      <c r="D17" s="50">
        <v>1</v>
      </c>
      <c r="E17" s="50">
        <v>1</v>
      </c>
      <c r="F17" s="50">
        <v>3</v>
      </c>
      <c r="G17" s="51">
        <f t="shared" si="0"/>
        <v>16</v>
      </c>
      <c r="H17" s="52">
        <f t="shared" si="1"/>
        <v>88.799999999999983</v>
      </c>
      <c r="I17" s="53">
        <f t="shared" si="2"/>
        <v>2657.81</v>
      </c>
      <c r="J17" s="54">
        <v>4599</v>
      </c>
      <c r="K17" s="54">
        <v>2293</v>
      </c>
      <c r="L17" s="51">
        <v>9</v>
      </c>
      <c r="M17" s="53">
        <f t="shared" si="3"/>
        <v>364.80999999999995</v>
      </c>
      <c r="N17" s="55">
        <f t="shared" si="4"/>
        <v>0.86274037647536883</v>
      </c>
      <c r="Q17" s="10"/>
      <c r="R17" s="49"/>
    </row>
    <row r="18" spans="2:18" s="22" customFormat="1" ht="15.75" customHeight="1" x14ac:dyDescent="0.2">
      <c r="B18" s="90">
        <f>Summary!B18</f>
        <v>46143</v>
      </c>
      <c r="C18" s="50">
        <v>11</v>
      </c>
      <c r="D18" s="50">
        <v>1</v>
      </c>
      <c r="E18" s="50">
        <v>1</v>
      </c>
      <c r="F18" s="50">
        <v>3</v>
      </c>
      <c r="G18" s="51">
        <f t="shared" si="0"/>
        <v>16</v>
      </c>
      <c r="H18" s="52">
        <f t="shared" si="1"/>
        <v>88.799999999999983</v>
      </c>
      <c r="I18" s="53">
        <f t="shared" si="2"/>
        <v>2657.81</v>
      </c>
      <c r="J18" s="54">
        <v>4947</v>
      </c>
      <c r="K18" s="54">
        <v>2626</v>
      </c>
      <c r="L18" s="51">
        <v>5</v>
      </c>
      <c r="M18" s="53">
        <f t="shared" si="3"/>
        <v>31.809999999999945</v>
      </c>
      <c r="N18" s="55">
        <f t="shared" si="4"/>
        <v>0.98803149961810666</v>
      </c>
      <c r="Q18" s="10"/>
      <c r="R18" s="49"/>
    </row>
    <row r="19" spans="2:18" s="22" customFormat="1" ht="15.75" customHeight="1" x14ac:dyDescent="0.2">
      <c r="B19" s="90">
        <f>Summary!B19</f>
        <v>46174</v>
      </c>
      <c r="C19" s="50">
        <v>11</v>
      </c>
      <c r="D19" s="50">
        <v>1</v>
      </c>
      <c r="E19" s="50">
        <v>1</v>
      </c>
      <c r="F19" s="50">
        <v>3</v>
      </c>
      <c r="G19" s="51">
        <f t="shared" si="0"/>
        <v>16</v>
      </c>
      <c r="H19" s="52">
        <f t="shared" si="1"/>
        <v>88.799999999999983</v>
      </c>
      <c r="I19" s="53">
        <f t="shared" si="2"/>
        <v>2657.81</v>
      </c>
      <c r="J19" s="54">
        <v>448</v>
      </c>
      <c r="K19" s="54">
        <v>446.4</v>
      </c>
      <c r="L19" s="51">
        <v>1</v>
      </c>
      <c r="M19" s="53">
        <f t="shared" si="3"/>
        <v>2211.41</v>
      </c>
      <c r="N19" s="55">
        <f t="shared" si="4"/>
        <v>0.16795782994269717</v>
      </c>
      <c r="Q19" s="10"/>
      <c r="R19" s="49"/>
    </row>
    <row r="20" spans="2:18" s="22" customFormat="1" ht="15.75" customHeight="1" x14ac:dyDescent="0.2">
      <c r="B20" s="90">
        <f>Summary!B20</f>
        <v>46204</v>
      </c>
      <c r="C20" s="50"/>
      <c r="D20" s="50"/>
      <c r="E20" s="50"/>
      <c r="F20" s="50"/>
      <c r="G20" s="51">
        <f t="shared" si="0"/>
        <v>0</v>
      </c>
      <c r="H20" s="52">
        <f t="shared" si="1"/>
        <v>0</v>
      </c>
      <c r="I20" s="53">
        <f t="shared" si="2"/>
        <v>0</v>
      </c>
      <c r="J20" s="54"/>
      <c r="K20" s="54"/>
      <c r="L20" s="51"/>
      <c r="M20" s="53">
        <f t="shared" si="3"/>
        <v>0</v>
      </c>
      <c r="N20" s="55"/>
      <c r="Q20" s="10"/>
      <c r="R20" s="49"/>
    </row>
    <row r="21" spans="2:18" s="22" customFormat="1" ht="15.75" customHeight="1" x14ac:dyDescent="0.2">
      <c r="B21" s="90">
        <f>Summary!B21</f>
        <v>46235</v>
      </c>
      <c r="C21" s="50"/>
      <c r="D21" s="50"/>
      <c r="E21" s="50"/>
      <c r="F21" s="50"/>
      <c r="G21" s="51">
        <f t="shared" si="0"/>
        <v>0</v>
      </c>
      <c r="H21" s="52">
        <f t="shared" si="1"/>
        <v>0</v>
      </c>
      <c r="I21" s="53">
        <f t="shared" si="2"/>
        <v>0</v>
      </c>
      <c r="J21" s="54"/>
      <c r="K21" s="54"/>
      <c r="L21" s="51"/>
      <c r="M21" s="53">
        <f t="shared" si="3"/>
        <v>0</v>
      </c>
      <c r="N21" s="55"/>
      <c r="Q21" s="10"/>
      <c r="R21" s="49"/>
    </row>
    <row r="22" spans="2:18" s="22" customFormat="1" ht="15.75" customHeight="1" x14ac:dyDescent="0.2">
      <c r="B22" s="90">
        <f>Summary!B22</f>
        <v>46266</v>
      </c>
      <c r="C22" s="50"/>
      <c r="D22" s="50"/>
      <c r="E22" s="50"/>
      <c r="F22" s="50"/>
      <c r="G22" s="51">
        <f t="shared" si="0"/>
        <v>0</v>
      </c>
      <c r="H22" s="52">
        <f t="shared" si="1"/>
        <v>0</v>
      </c>
      <c r="I22" s="53">
        <f t="shared" si="2"/>
        <v>0</v>
      </c>
      <c r="J22" s="54"/>
      <c r="K22" s="54"/>
      <c r="L22" s="51"/>
      <c r="M22" s="53">
        <f t="shared" si="3"/>
        <v>0</v>
      </c>
      <c r="N22" s="125"/>
      <c r="Q22" s="10"/>
      <c r="R22" s="49"/>
    </row>
    <row r="23" spans="2:18" s="22" customFormat="1" ht="15.75" customHeight="1" x14ac:dyDescent="0.2">
      <c r="B23" s="90">
        <f>Summary!B23</f>
        <v>46296</v>
      </c>
      <c r="C23" s="50"/>
      <c r="D23" s="50"/>
      <c r="E23" s="50"/>
      <c r="F23" s="50"/>
      <c r="G23" s="51">
        <f t="shared" si="0"/>
        <v>0</v>
      </c>
      <c r="H23" s="52">
        <f t="shared" si="1"/>
        <v>0</v>
      </c>
      <c r="I23" s="53">
        <f t="shared" si="2"/>
        <v>0</v>
      </c>
      <c r="J23" s="54"/>
      <c r="K23" s="54"/>
      <c r="L23" s="51"/>
      <c r="M23" s="53">
        <f t="shared" si="3"/>
        <v>0</v>
      </c>
      <c r="N23" s="125"/>
      <c r="Q23" s="10"/>
      <c r="R23" s="49"/>
    </row>
    <row r="24" spans="2:18" s="22" customFormat="1" ht="15.75" customHeight="1" thickBot="1" x14ac:dyDescent="0.25">
      <c r="B24" s="56"/>
      <c r="C24" s="57"/>
      <c r="D24" s="57"/>
      <c r="E24" s="57"/>
      <c r="F24" s="57"/>
      <c r="G24" s="58"/>
      <c r="H24" s="59"/>
      <c r="I24" s="60"/>
      <c r="J24" s="61"/>
      <c r="K24" s="62"/>
      <c r="L24" s="63"/>
      <c r="M24" s="64"/>
      <c r="N24" s="65"/>
    </row>
    <row r="25" spans="2:18" s="72" customFormat="1" ht="15.75" customHeight="1" thickBot="1" x14ac:dyDescent="0.3">
      <c r="B25" s="66" t="s">
        <v>24</v>
      </c>
      <c r="C25" s="67">
        <f>AVERAGEIF(C12:C23,"&gt;0")</f>
        <v>11</v>
      </c>
      <c r="D25" s="67">
        <f>AVERAGEIF(D12:D23,"&gt;0")</f>
        <v>1</v>
      </c>
      <c r="E25" s="146">
        <f>AVERAGEIF(E12:E23,"&gt;0")</f>
        <v>1</v>
      </c>
      <c r="F25" s="67">
        <f>AVERAGEIF(F12:F23,"&gt;0")</f>
        <v>3.75</v>
      </c>
      <c r="G25" s="67">
        <f>AVERAGEIF(G12:G23,"&gt;0")</f>
        <v>16.25</v>
      </c>
      <c r="H25" s="68">
        <f>SUM(H11:H23)</f>
        <v>721.49999999999989</v>
      </c>
      <c r="I25" s="68">
        <f>SUM(I11:I23)</f>
        <v>22499.780000000002</v>
      </c>
      <c r="J25" s="69">
        <f>SUM(J11:J23)</f>
        <v>21704</v>
      </c>
      <c r="K25" s="70">
        <f>SUM(K11:K23)</f>
        <v>13072</v>
      </c>
      <c r="L25" s="71">
        <f>SUM(L12:L23)</f>
        <v>26</v>
      </c>
      <c r="M25" s="68">
        <f>SUM(M12:M23)</f>
        <v>9427.7799999999988</v>
      </c>
      <c r="N25" s="117">
        <f>K25/I25</f>
        <v>0.5809834585049275</v>
      </c>
    </row>
    <row r="26" spans="2:18" s="22" customFormat="1" ht="15.75" customHeight="1" x14ac:dyDescent="0.2">
      <c r="J26" s="73"/>
      <c r="L26" s="74"/>
    </row>
    <row r="27" spans="2:18" s="22" customFormat="1" ht="15.75" customHeight="1" x14ac:dyDescent="0.25">
      <c r="B27" s="187" t="s">
        <v>25</v>
      </c>
      <c r="C27" s="188"/>
      <c r="D27" s="188"/>
      <c r="E27" s="188"/>
      <c r="F27" s="188"/>
      <c r="G27" s="189"/>
      <c r="H27" s="75"/>
      <c r="J27" s="181" t="s">
        <v>26</v>
      </c>
      <c r="K27" s="182"/>
      <c r="L27" s="182"/>
      <c r="M27" s="182"/>
      <c r="N27" s="183"/>
    </row>
    <row r="28" spans="2:18" s="22" customFormat="1" ht="15.75" customHeight="1" x14ac:dyDescent="0.2">
      <c r="B28" s="76"/>
      <c r="C28" s="182" t="s">
        <v>27</v>
      </c>
      <c r="D28" s="183"/>
      <c r="E28" s="190" t="s">
        <v>28</v>
      </c>
      <c r="F28" s="183"/>
      <c r="G28" s="77" t="s">
        <v>16</v>
      </c>
      <c r="H28" s="73"/>
      <c r="J28" s="178" t="s">
        <v>29</v>
      </c>
      <c r="K28" s="179"/>
      <c r="L28" s="179"/>
      <c r="M28" s="180"/>
      <c r="N28" s="78">
        <f>J25/L25</f>
        <v>834.76923076923072</v>
      </c>
    </row>
    <row r="29" spans="2:18" s="22" customFormat="1" ht="15.75" customHeight="1" x14ac:dyDescent="0.2">
      <c r="B29" s="79" t="s">
        <v>30</v>
      </c>
      <c r="C29" s="191">
        <v>105.65</v>
      </c>
      <c r="D29" s="192" t="str">
        <f>IF($A29="s",VLOOKUP("Print",'[1]Plan Input Form'!$C$6:$L$97,14),"")</f>
        <v/>
      </c>
      <c r="E29" s="193">
        <v>5.55</v>
      </c>
      <c r="F29" s="192" t="str">
        <f>IF($A29="s",VLOOKUP("Print",'[1]Plan Input Form'!$C$6:$L$97,14),"")</f>
        <v/>
      </c>
      <c r="G29" s="80">
        <f>C29+E29</f>
        <v>111.2</v>
      </c>
      <c r="H29" s="81"/>
      <c r="J29" s="178" t="s">
        <v>31</v>
      </c>
      <c r="K29" s="179"/>
      <c r="L29" s="179"/>
      <c r="M29" s="180"/>
      <c r="N29" s="78">
        <f>K25/L25</f>
        <v>502.76923076923077</v>
      </c>
    </row>
    <row r="30" spans="2:18" s="22" customFormat="1" ht="15.75" customHeight="1" x14ac:dyDescent="0.2">
      <c r="B30" s="82" t="str">
        <f>IF(D10="E+1","EE &amp; One","EE &amp; Spouse")</f>
        <v>EE &amp; Spouse</v>
      </c>
      <c r="C30" s="191">
        <v>212.3</v>
      </c>
      <c r="D30" s="192" t="str">
        <f>IF($A30="s",VLOOKUP("Print",'[1]Plan Input Form'!$C$6:$L$97,14),"")</f>
        <v/>
      </c>
      <c r="E30" s="193">
        <v>5.55</v>
      </c>
      <c r="F30" s="192" t="str">
        <f>IF($A30="s",VLOOKUP("Print",'[1]Plan Input Form'!$C$6:$L$97,14),"")</f>
        <v/>
      </c>
      <c r="G30" s="80">
        <f>C30+E30</f>
        <v>217.85000000000002</v>
      </c>
      <c r="H30" s="81"/>
      <c r="J30" s="178" t="s">
        <v>32</v>
      </c>
      <c r="K30" s="179"/>
      <c r="L30" s="179"/>
      <c r="M30" s="180"/>
      <c r="N30" s="83">
        <f>((L25/COUNTIF(G12:G23,"&gt;0"))*12)/G25</f>
        <v>2.4</v>
      </c>
    </row>
    <row r="31" spans="2:18" s="22" customFormat="1" ht="15.75" customHeight="1" x14ac:dyDescent="0.2">
      <c r="B31" s="79" t="s">
        <v>33</v>
      </c>
      <c r="C31" s="191">
        <v>221.57</v>
      </c>
      <c r="D31" s="192" t="str">
        <f>IF($A31="s",VLOOKUP("Print",'[1]Plan Input Form'!$C$6:$L$97,14),"")</f>
        <v/>
      </c>
      <c r="E31" s="193">
        <v>5.55</v>
      </c>
      <c r="F31" s="192" t="str">
        <f>IF($A31="s",VLOOKUP("Print",'[1]Plan Input Form'!$C$6:$L$97,14),"")</f>
        <v/>
      </c>
      <c r="G31" s="80">
        <f>C31+E31</f>
        <v>227.12</v>
      </c>
      <c r="H31" s="81"/>
      <c r="J31" s="178" t="s">
        <v>34</v>
      </c>
      <c r="K31" s="179"/>
      <c r="L31" s="179"/>
      <c r="M31" s="180"/>
      <c r="N31" s="84">
        <f>K25/J25</f>
        <v>0.60228529303354217</v>
      </c>
    </row>
    <row r="32" spans="2:18" s="22" customFormat="1" ht="15.75" customHeight="1" x14ac:dyDescent="0.2">
      <c r="B32" s="79" t="s">
        <v>35</v>
      </c>
      <c r="C32" s="191">
        <v>353.93</v>
      </c>
      <c r="D32" s="192" t="str">
        <f>IF($A32="s",VLOOKUP("Print",'[1]Plan Input Form'!$C$6:$L$97,14),"")</f>
        <v/>
      </c>
      <c r="E32" s="193">
        <v>5.55</v>
      </c>
      <c r="F32" s="192" t="str">
        <f>IF($A32="s",VLOOKUP("Print",'[1]Plan Input Form'!$C$6:$L$97,14),"")</f>
        <v/>
      </c>
      <c r="G32" s="80">
        <f>C32+E32</f>
        <v>359.48</v>
      </c>
      <c r="H32" s="81"/>
      <c r="J32" s="178" t="s">
        <v>36</v>
      </c>
      <c r="K32" s="179"/>
      <c r="L32" s="179"/>
      <c r="M32" s="180"/>
      <c r="N32" s="78">
        <f>K25/G25/(COUNTIF(G12:G23,"&gt;0"))</f>
        <v>100.55384615384615</v>
      </c>
    </row>
    <row r="33" spans="2:14" s="22" customFormat="1" ht="15.75" customHeight="1" x14ac:dyDescent="0.2">
      <c r="C33" s="81"/>
      <c r="D33" s="81"/>
      <c r="E33" s="81"/>
      <c r="F33" s="85"/>
      <c r="G33" s="81"/>
      <c r="H33" s="81"/>
      <c r="J33" s="86"/>
      <c r="K33" s="86"/>
      <c r="L33" s="86"/>
      <c r="M33" s="86"/>
      <c r="N33" s="87"/>
    </row>
    <row r="34" spans="2:14" s="22" customFormat="1" ht="15.75" customHeight="1" thickBot="1" x14ac:dyDescent="0.25">
      <c r="J34" s="73"/>
      <c r="L34" s="74"/>
    </row>
    <row r="35" spans="2:14" s="22" customFormat="1" ht="15.75" customHeight="1" thickBot="1" x14ac:dyDescent="0.3">
      <c r="B35" s="209" t="s">
        <v>37</v>
      </c>
      <c r="C35" s="209"/>
      <c r="D35" s="209"/>
      <c r="E35" s="209"/>
      <c r="F35" s="209"/>
      <c r="G35" s="209"/>
      <c r="H35" s="75"/>
      <c r="J35" s="167" t="s">
        <v>41</v>
      </c>
      <c r="K35" s="168"/>
      <c r="L35" s="168"/>
      <c r="M35" s="168"/>
      <c r="N35" s="169"/>
    </row>
    <row r="36" spans="2:14" s="22" customFormat="1" ht="15.75" customHeight="1" x14ac:dyDescent="0.2">
      <c r="B36" s="210" t="s">
        <v>71</v>
      </c>
      <c r="C36" s="211"/>
      <c r="D36" s="211"/>
      <c r="E36" s="211"/>
      <c r="F36" s="211"/>
      <c r="G36" s="212"/>
      <c r="H36" s="89"/>
      <c r="J36" s="170" t="s">
        <v>29</v>
      </c>
      <c r="K36" s="171"/>
      <c r="L36" s="171"/>
      <c r="M36" s="172"/>
      <c r="N36" s="118" t="s">
        <v>75</v>
      </c>
    </row>
    <row r="37" spans="2:14" s="22" customFormat="1" ht="15.75" customHeight="1" x14ac:dyDescent="0.2">
      <c r="B37" s="203" t="s">
        <v>72</v>
      </c>
      <c r="C37" s="204"/>
      <c r="D37" s="204"/>
      <c r="E37" s="204"/>
      <c r="F37" s="204"/>
      <c r="G37" s="205"/>
      <c r="H37" s="89"/>
      <c r="J37" s="170" t="s">
        <v>31</v>
      </c>
      <c r="K37" s="171"/>
      <c r="L37" s="171"/>
      <c r="M37" s="172"/>
      <c r="N37" s="118">
        <v>0</v>
      </c>
    </row>
    <row r="38" spans="2:14" s="22" customFormat="1" ht="15.75" customHeight="1" x14ac:dyDescent="0.2">
      <c r="B38" s="203" t="s">
        <v>73</v>
      </c>
      <c r="C38" s="204"/>
      <c r="D38" s="204"/>
      <c r="E38" s="204"/>
      <c r="F38" s="204"/>
      <c r="G38" s="205"/>
      <c r="H38" s="89"/>
      <c r="J38" s="170" t="s">
        <v>32</v>
      </c>
      <c r="K38" s="171"/>
      <c r="L38" s="171"/>
      <c r="M38" s="172"/>
      <c r="N38" s="119">
        <v>0</v>
      </c>
    </row>
    <row r="39" spans="2:14" s="22" customFormat="1" ht="15.75" customHeight="1" x14ac:dyDescent="0.2">
      <c r="B39" s="203" t="s">
        <v>74</v>
      </c>
      <c r="C39" s="204"/>
      <c r="D39" s="204"/>
      <c r="E39" s="204"/>
      <c r="F39" s="204"/>
      <c r="G39" s="205"/>
      <c r="H39" s="89"/>
      <c r="J39" s="170" t="s">
        <v>34</v>
      </c>
      <c r="K39" s="171"/>
      <c r="L39" s="171"/>
      <c r="M39" s="172"/>
      <c r="N39" s="120">
        <v>0</v>
      </c>
    </row>
    <row r="40" spans="2:14" s="22" customFormat="1" ht="15" thickBot="1" x14ac:dyDescent="0.25">
      <c r="B40" s="206" t="s">
        <v>39</v>
      </c>
      <c r="C40" s="207"/>
      <c r="D40" s="207"/>
      <c r="E40" s="207"/>
      <c r="F40" s="207"/>
      <c r="G40" s="208"/>
      <c r="H40" s="89"/>
      <c r="J40" s="170" t="s">
        <v>36</v>
      </c>
      <c r="K40" s="171"/>
      <c r="L40" s="171"/>
      <c r="M40" s="172"/>
      <c r="N40" s="118">
        <v>0</v>
      </c>
    </row>
    <row r="41" spans="2:14" ht="15" x14ac:dyDescent="0.25">
      <c r="J41" s="175" t="s">
        <v>42</v>
      </c>
      <c r="K41" s="176"/>
      <c r="L41" s="176"/>
      <c r="M41" s="177"/>
      <c r="N41" s="118">
        <v>0</v>
      </c>
    </row>
    <row r="43" spans="2:14" ht="10.15" customHeight="1" x14ac:dyDescent="0.2">
      <c r="B43" s="158" t="s">
        <v>43</v>
      </c>
      <c r="C43" s="159"/>
      <c r="D43" s="159"/>
      <c r="E43" s="159"/>
      <c r="F43" s="159"/>
      <c r="G43" s="159"/>
      <c r="H43" s="159"/>
      <c r="I43" s="159"/>
      <c r="J43" s="159"/>
      <c r="K43" s="159"/>
      <c r="L43" s="159"/>
      <c r="M43" s="159"/>
      <c r="N43" s="160"/>
    </row>
    <row r="44" spans="2:14" ht="10.15" customHeight="1" x14ac:dyDescent="0.2">
      <c r="B44" s="161"/>
      <c r="C44" s="162"/>
      <c r="D44" s="162"/>
      <c r="E44" s="162"/>
      <c r="F44" s="162"/>
      <c r="G44" s="162"/>
      <c r="H44" s="162"/>
      <c r="I44" s="162"/>
      <c r="J44" s="162"/>
      <c r="K44" s="162"/>
      <c r="L44" s="162"/>
      <c r="M44" s="162"/>
      <c r="N44" s="163"/>
    </row>
    <row r="45" spans="2:14" ht="10.15" customHeight="1" x14ac:dyDescent="0.2">
      <c r="B45" s="161"/>
      <c r="C45" s="162"/>
      <c r="D45" s="162"/>
      <c r="E45" s="162"/>
      <c r="F45" s="162"/>
      <c r="G45" s="162"/>
      <c r="H45" s="162"/>
      <c r="I45" s="162"/>
      <c r="J45" s="162"/>
      <c r="K45" s="162"/>
      <c r="L45" s="162"/>
      <c r="M45" s="162"/>
      <c r="N45" s="163"/>
    </row>
    <row r="46" spans="2:14" ht="10.15" customHeight="1" x14ac:dyDescent="0.2">
      <c r="B46" s="161"/>
      <c r="C46" s="162"/>
      <c r="D46" s="162"/>
      <c r="E46" s="162"/>
      <c r="F46" s="162"/>
      <c r="G46" s="162"/>
      <c r="H46" s="162"/>
      <c r="I46" s="162"/>
      <c r="J46" s="162"/>
      <c r="K46" s="162"/>
      <c r="L46" s="162"/>
      <c r="M46" s="162"/>
      <c r="N46" s="163"/>
    </row>
    <row r="47" spans="2:14" ht="10.15" customHeight="1" x14ac:dyDescent="0.2">
      <c r="B47" s="161"/>
      <c r="C47" s="162"/>
      <c r="D47" s="162"/>
      <c r="E47" s="162"/>
      <c r="F47" s="162"/>
      <c r="G47" s="162"/>
      <c r="H47" s="162"/>
      <c r="I47" s="162"/>
      <c r="J47" s="162"/>
      <c r="K47" s="162"/>
      <c r="L47" s="162"/>
      <c r="M47" s="162"/>
      <c r="N47" s="163"/>
    </row>
    <row r="48" spans="2:14" ht="10.15" customHeight="1" x14ac:dyDescent="0.2">
      <c r="B48" s="161"/>
      <c r="C48" s="162"/>
      <c r="D48" s="162"/>
      <c r="E48" s="162"/>
      <c r="F48" s="162"/>
      <c r="G48" s="162"/>
      <c r="H48" s="162"/>
      <c r="I48" s="162"/>
      <c r="J48" s="162"/>
      <c r="K48" s="162"/>
      <c r="L48" s="162"/>
      <c r="M48" s="162"/>
      <c r="N48" s="163"/>
    </row>
    <row r="49" spans="2:14" ht="10.15" customHeight="1" x14ac:dyDescent="0.2">
      <c r="B49" s="164"/>
      <c r="C49" s="165"/>
      <c r="D49" s="165"/>
      <c r="E49" s="165"/>
      <c r="F49" s="165"/>
      <c r="G49" s="165"/>
      <c r="H49" s="165"/>
      <c r="I49" s="165"/>
      <c r="J49" s="165"/>
      <c r="K49" s="165"/>
      <c r="L49" s="165"/>
      <c r="M49" s="165"/>
      <c r="N49" s="166"/>
    </row>
  </sheetData>
  <mergeCells count="44">
    <mergeCell ref="B1:N1"/>
    <mergeCell ref="B2:N2"/>
    <mergeCell ref="B5:C5"/>
    <mergeCell ref="D5:G5"/>
    <mergeCell ref="K5:L5"/>
    <mergeCell ref="M5:N5"/>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B36:G36"/>
    <mergeCell ref="J36:M36"/>
    <mergeCell ref="C30:D30"/>
    <mergeCell ref="E30:F30"/>
    <mergeCell ref="J30:M30"/>
    <mergeCell ref="C31:D31"/>
    <mergeCell ref="E31:F31"/>
    <mergeCell ref="J31:M31"/>
    <mergeCell ref="C32:D32"/>
    <mergeCell ref="E32:F32"/>
    <mergeCell ref="J32:M32"/>
    <mergeCell ref="B35:G35"/>
    <mergeCell ref="J35:N35"/>
    <mergeCell ref="B43:N49"/>
    <mergeCell ref="B40:G40"/>
    <mergeCell ref="J40:M40"/>
    <mergeCell ref="J41:M41"/>
    <mergeCell ref="B37:G37"/>
    <mergeCell ref="J37:M37"/>
    <mergeCell ref="B38:G38"/>
    <mergeCell ref="J38:M38"/>
    <mergeCell ref="B39:G39"/>
    <mergeCell ref="J39:M39"/>
  </mergeCells>
  <pageMargins left="0.7" right="0.7" top="0.75" bottom="0.75" header="0.3" footer="0.3"/>
  <pageSetup scale="6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Z49"/>
  <sheetViews>
    <sheetView tabSelected="1" workbookViewId="0">
      <selection activeCell="P18" sqref="P18"/>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54" t="str">
        <f>Summary!B1</f>
        <v>Mountainseed Appraisal Management, LLC.</v>
      </c>
      <c r="C1" s="154"/>
      <c r="D1" s="154"/>
      <c r="E1" s="154"/>
      <c r="F1" s="154"/>
      <c r="G1" s="154"/>
      <c r="H1" s="154"/>
      <c r="I1" s="154"/>
      <c r="J1" s="154"/>
      <c r="K1" s="154"/>
      <c r="L1" s="154"/>
      <c r="M1" s="154"/>
      <c r="N1" s="154"/>
    </row>
    <row r="2" spans="2:26" s="1" customFormat="1" ht="20.25" customHeight="1" x14ac:dyDescent="0.25">
      <c r="B2" s="155" t="str">
        <f>Summary!B2</f>
        <v>Monthly Performance Report - Budgeted vs Actual Claims Paid</v>
      </c>
      <c r="C2" s="155"/>
      <c r="D2" s="155"/>
      <c r="E2" s="155"/>
      <c r="F2" s="155"/>
      <c r="G2" s="155"/>
      <c r="H2" s="155"/>
      <c r="I2" s="155"/>
      <c r="J2" s="155"/>
      <c r="K2" s="155"/>
      <c r="L2" s="155"/>
      <c r="M2" s="155"/>
      <c r="N2" s="155"/>
      <c r="O2" s="3"/>
      <c r="P2" s="3"/>
      <c r="Q2" s="4"/>
      <c r="R2" s="3"/>
      <c r="S2" s="3"/>
      <c r="T2" s="3"/>
      <c r="U2" s="3"/>
      <c r="V2" s="3"/>
      <c r="W2" s="3"/>
      <c r="X2" s="3"/>
      <c r="Y2" s="3"/>
      <c r="Z2" s="3"/>
    </row>
    <row r="3" spans="2:26" s="1" customFormat="1" ht="20.25" customHeight="1" x14ac:dyDescent="0.25">
      <c r="G3" s="5" t="s">
        <v>0</v>
      </c>
      <c r="H3" s="6">
        <f>Summary!H3</f>
        <v>45962</v>
      </c>
      <c r="I3" s="2" t="s">
        <v>1</v>
      </c>
      <c r="J3" s="6">
        <f>Summary!J3</f>
        <v>46326</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56" t="s">
        <v>2</v>
      </c>
      <c r="C5" s="156"/>
      <c r="D5" s="157" t="str">
        <f>Summary!D5</f>
        <v>S480</v>
      </c>
      <c r="E5" s="157"/>
      <c r="F5" s="157"/>
      <c r="G5" s="157"/>
      <c r="H5" s="15"/>
      <c r="I5" s="16"/>
      <c r="J5" s="16"/>
      <c r="K5" s="156" t="s">
        <v>3</v>
      </c>
      <c r="L5" s="156"/>
      <c r="M5" s="157" t="s">
        <v>55</v>
      </c>
      <c r="N5" s="157"/>
    </row>
    <row r="6" spans="2:26" s="1" customFormat="1" ht="20.25" customHeight="1" x14ac:dyDescent="0.25">
      <c r="B6" s="156" t="s">
        <v>4</v>
      </c>
      <c r="C6" s="156"/>
      <c r="D6" s="157" t="s">
        <v>57</v>
      </c>
      <c r="E6" s="157"/>
      <c r="F6" s="157"/>
      <c r="G6" s="157"/>
      <c r="H6" s="15"/>
      <c r="I6" s="12"/>
      <c r="J6" s="12"/>
      <c r="K6" s="156" t="s">
        <v>5</v>
      </c>
      <c r="L6" s="156"/>
      <c r="M6" s="157" t="s">
        <v>69</v>
      </c>
      <c r="N6" s="157"/>
    </row>
    <row r="7" spans="2:26" ht="21" customHeight="1" thickBot="1" x14ac:dyDescent="0.25">
      <c r="C7" s="18"/>
      <c r="D7" s="18"/>
      <c r="E7" s="18"/>
    </row>
    <row r="8" spans="2:26" s="22" customFormat="1" ht="15.75" customHeight="1" thickBot="1" x14ac:dyDescent="0.25">
      <c r="B8" s="173" t="s">
        <v>6</v>
      </c>
      <c r="C8" s="174"/>
      <c r="D8" s="174"/>
      <c r="E8" s="174"/>
      <c r="F8" s="174"/>
      <c r="G8" s="174"/>
      <c r="H8" s="21" t="s">
        <v>7</v>
      </c>
      <c r="I8" s="184" t="s">
        <v>8</v>
      </c>
      <c r="J8" s="184"/>
      <c r="K8" s="184"/>
      <c r="L8" s="185"/>
      <c r="M8" s="186" t="s">
        <v>9</v>
      </c>
      <c r="N8" s="185"/>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90">
        <f>Summary!B12</f>
        <v>45962</v>
      </c>
      <c r="C12" s="50">
        <v>19</v>
      </c>
      <c r="D12" s="50">
        <v>3</v>
      </c>
      <c r="E12" s="50">
        <v>1</v>
      </c>
      <c r="F12" s="50">
        <v>4</v>
      </c>
      <c r="G12" s="51">
        <f>SUM(C12:F12)</f>
        <v>27</v>
      </c>
      <c r="H12" s="52">
        <f>(C12*$E$29)+(D12*$E$30)+(E12*$E$31)+(F12*$E$32)</f>
        <v>149.85</v>
      </c>
      <c r="I12" s="53">
        <f>(C12*$C$29)+(D12*$C$30)+(E12*$C$31)+(F12*$C$32)</f>
        <v>1582.48</v>
      </c>
      <c r="J12" s="54">
        <v>0</v>
      </c>
      <c r="K12" s="54">
        <v>0</v>
      </c>
      <c r="L12" s="51">
        <v>0</v>
      </c>
      <c r="M12" s="53">
        <f>I12-K12</f>
        <v>1582.48</v>
      </c>
      <c r="N12" s="55">
        <f>K12/I12</f>
        <v>0</v>
      </c>
      <c r="Q12" s="49"/>
      <c r="R12" s="49"/>
    </row>
    <row r="13" spans="2:26" s="22" customFormat="1" ht="15.75" customHeight="1" x14ac:dyDescent="0.2">
      <c r="B13" s="90">
        <f>Summary!B13</f>
        <v>45992</v>
      </c>
      <c r="C13" s="50">
        <v>19</v>
      </c>
      <c r="D13" s="50">
        <v>3</v>
      </c>
      <c r="E13" s="50">
        <v>1</v>
      </c>
      <c r="F13" s="50">
        <v>5</v>
      </c>
      <c r="G13" s="51">
        <f t="shared" ref="G13:G23" si="0">SUM(C13:F13)</f>
        <v>28</v>
      </c>
      <c r="H13" s="52">
        <f t="shared" ref="H13:H23" si="1">(C13*$E$29)+(D13*$E$30)+(E13*$E$31)+(F13*$E$32)</f>
        <v>155.39999999999998</v>
      </c>
      <c r="I13" s="53">
        <f t="shared" ref="I13:I23" si="2">(C13*$C$29)+(D13*$C$30)+(E13*$C$31)+(F13*$C$32)</f>
        <v>1713.48</v>
      </c>
      <c r="J13" s="54">
        <v>0</v>
      </c>
      <c r="K13" s="54">
        <v>0</v>
      </c>
      <c r="L13" s="51">
        <v>0</v>
      </c>
      <c r="M13" s="53">
        <f t="shared" ref="M13:M23" si="3">I13-K13</f>
        <v>1713.48</v>
      </c>
      <c r="N13" s="55">
        <f t="shared" ref="N13:N19" si="4">K13/I13</f>
        <v>0</v>
      </c>
      <c r="Q13" s="10"/>
      <c r="R13" s="49"/>
    </row>
    <row r="14" spans="2:26" s="22" customFormat="1" ht="15.75" customHeight="1" x14ac:dyDescent="0.2">
      <c r="B14" s="90">
        <f>Summary!B14</f>
        <v>46023</v>
      </c>
      <c r="C14" s="50">
        <v>19</v>
      </c>
      <c r="D14" s="50">
        <v>3</v>
      </c>
      <c r="E14" s="50">
        <v>1</v>
      </c>
      <c r="F14" s="50">
        <v>5</v>
      </c>
      <c r="G14" s="51">
        <f t="shared" si="0"/>
        <v>28</v>
      </c>
      <c r="H14" s="52">
        <f t="shared" si="1"/>
        <v>155.39999999999998</v>
      </c>
      <c r="I14" s="53">
        <f t="shared" si="2"/>
        <v>1713.48</v>
      </c>
      <c r="J14" s="54">
        <v>250</v>
      </c>
      <c r="K14" s="54">
        <v>250</v>
      </c>
      <c r="L14" s="51">
        <v>1</v>
      </c>
      <c r="M14" s="53">
        <f t="shared" si="3"/>
        <v>1463.48</v>
      </c>
      <c r="N14" s="55">
        <f t="shared" si="4"/>
        <v>0.14590190722973131</v>
      </c>
      <c r="Q14" s="10"/>
      <c r="R14" s="49"/>
    </row>
    <row r="15" spans="2:26" s="22" customFormat="1" ht="15.75" customHeight="1" x14ac:dyDescent="0.2">
      <c r="B15" s="90">
        <f>Summary!B15</f>
        <v>46054</v>
      </c>
      <c r="C15" s="50">
        <v>18</v>
      </c>
      <c r="D15" s="50">
        <v>3</v>
      </c>
      <c r="E15" s="50">
        <v>1</v>
      </c>
      <c r="F15" s="50">
        <v>5</v>
      </c>
      <c r="G15" s="51">
        <f t="shared" si="0"/>
        <v>27</v>
      </c>
      <c r="H15" s="52">
        <f t="shared" si="1"/>
        <v>149.84999999999997</v>
      </c>
      <c r="I15" s="53">
        <f t="shared" si="2"/>
        <v>1674.48</v>
      </c>
      <c r="J15" s="54">
        <v>0</v>
      </c>
      <c r="K15" s="54">
        <v>0</v>
      </c>
      <c r="L15" s="51">
        <v>0</v>
      </c>
      <c r="M15" s="53">
        <f t="shared" si="3"/>
        <v>1674.48</v>
      </c>
      <c r="N15" s="55">
        <f t="shared" si="4"/>
        <v>0</v>
      </c>
      <c r="Q15" s="10"/>
      <c r="R15" s="49"/>
    </row>
    <row r="16" spans="2:26" s="22" customFormat="1" ht="15.75" customHeight="1" x14ac:dyDescent="0.2">
      <c r="B16" s="90">
        <f>Summary!B16</f>
        <v>46082</v>
      </c>
      <c r="C16" s="50">
        <v>19</v>
      </c>
      <c r="D16" s="50">
        <v>3</v>
      </c>
      <c r="E16" s="50">
        <v>1</v>
      </c>
      <c r="F16" s="50">
        <v>5</v>
      </c>
      <c r="G16" s="51">
        <f t="shared" si="0"/>
        <v>28</v>
      </c>
      <c r="H16" s="52">
        <f t="shared" si="1"/>
        <v>155.39999999999998</v>
      </c>
      <c r="I16" s="53">
        <f t="shared" si="2"/>
        <v>1713.48</v>
      </c>
      <c r="J16" s="54">
        <v>1551</v>
      </c>
      <c r="K16" s="54">
        <v>925.5</v>
      </c>
      <c r="L16" s="51">
        <v>2</v>
      </c>
      <c r="M16" s="53">
        <f t="shared" si="3"/>
        <v>787.98</v>
      </c>
      <c r="N16" s="55">
        <f t="shared" si="4"/>
        <v>0.5401288605644653</v>
      </c>
      <c r="Q16" s="10"/>
      <c r="R16" s="49"/>
    </row>
    <row r="17" spans="2:18" s="22" customFormat="1" ht="15.75" customHeight="1" x14ac:dyDescent="0.2">
      <c r="B17" s="90">
        <f>Summary!B17</f>
        <v>46113</v>
      </c>
      <c r="C17" s="50">
        <v>19</v>
      </c>
      <c r="D17" s="50">
        <v>3</v>
      </c>
      <c r="E17" s="50">
        <v>1</v>
      </c>
      <c r="F17" s="50">
        <v>6</v>
      </c>
      <c r="G17" s="51">
        <f t="shared" si="0"/>
        <v>29</v>
      </c>
      <c r="H17" s="52">
        <f t="shared" si="1"/>
        <v>160.94999999999999</v>
      </c>
      <c r="I17" s="53">
        <f t="shared" si="2"/>
        <v>1844.48</v>
      </c>
      <c r="J17" s="54">
        <v>7726.91</v>
      </c>
      <c r="K17" s="54">
        <v>4011.96</v>
      </c>
      <c r="L17" s="51">
        <v>20</v>
      </c>
      <c r="M17" s="53">
        <f t="shared" si="3"/>
        <v>-2167.48</v>
      </c>
      <c r="N17" s="55">
        <f t="shared" si="4"/>
        <v>2.1751171061762666</v>
      </c>
      <c r="Q17" s="10"/>
      <c r="R17" s="49"/>
    </row>
    <row r="18" spans="2:18" s="22" customFormat="1" ht="15.75" customHeight="1" x14ac:dyDescent="0.2">
      <c r="B18" s="90">
        <f>Summary!B18</f>
        <v>46143</v>
      </c>
      <c r="C18" s="50">
        <v>19</v>
      </c>
      <c r="D18" s="50">
        <v>3</v>
      </c>
      <c r="E18" s="50">
        <v>1</v>
      </c>
      <c r="F18" s="50">
        <v>6</v>
      </c>
      <c r="G18" s="51">
        <f t="shared" si="0"/>
        <v>29</v>
      </c>
      <c r="H18" s="52">
        <f t="shared" si="1"/>
        <v>160.94999999999999</v>
      </c>
      <c r="I18" s="53">
        <f t="shared" si="2"/>
        <v>1844.48</v>
      </c>
      <c r="J18" s="54">
        <v>1845.64</v>
      </c>
      <c r="K18" s="54">
        <v>461.42</v>
      </c>
      <c r="L18" s="51">
        <v>2</v>
      </c>
      <c r="M18" s="53">
        <f t="shared" si="3"/>
        <v>1383.06</v>
      </c>
      <c r="N18" s="55">
        <f t="shared" si="4"/>
        <v>0.25016264746703681</v>
      </c>
      <c r="Q18" s="10"/>
      <c r="R18" s="49"/>
    </row>
    <row r="19" spans="2:18" s="22" customFormat="1" ht="15.75" customHeight="1" x14ac:dyDescent="0.2">
      <c r="B19" s="90">
        <f>Summary!B19</f>
        <v>46174</v>
      </c>
      <c r="C19" s="50">
        <v>18</v>
      </c>
      <c r="D19" s="50">
        <v>3</v>
      </c>
      <c r="E19" s="50">
        <v>1</v>
      </c>
      <c r="F19" s="50">
        <v>7</v>
      </c>
      <c r="G19" s="51">
        <f t="shared" si="0"/>
        <v>29</v>
      </c>
      <c r="H19" s="52">
        <f t="shared" si="1"/>
        <v>160.94999999999999</v>
      </c>
      <c r="I19" s="53">
        <f t="shared" si="2"/>
        <v>1936.48</v>
      </c>
      <c r="J19" s="54">
        <v>1005</v>
      </c>
      <c r="K19" s="54">
        <v>892.5</v>
      </c>
      <c r="L19" s="51">
        <v>4</v>
      </c>
      <c r="M19" s="53">
        <f t="shared" si="3"/>
        <v>1043.98</v>
      </c>
      <c r="N19" s="55">
        <f t="shared" si="4"/>
        <v>0.46088779641411221</v>
      </c>
      <c r="Q19" s="10"/>
      <c r="R19" s="49"/>
    </row>
    <row r="20" spans="2:18" s="22" customFormat="1" ht="15.75" customHeight="1" x14ac:dyDescent="0.2">
      <c r="B20" s="90">
        <f>Summary!B20</f>
        <v>46204</v>
      </c>
      <c r="C20" s="50"/>
      <c r="D20" s="50"/>
      <c r="E20" s="50"/>
      <c r="F20" s="50"/>
      <c r="G20" s="51">
        <f t="shared" si="0"/>
        <v>0</v>
      </c>
      <c r="H20" s="52">
        <f t="shared" si="1"/>
        <v>0</v>
      </c>
      <c r="I20" s="53">
        <f t="shared" si="2"/>
        <v>0</v>
      </c>
      <c r="J20" s="54"/>
      <c r="K20" s="54"/>
      <c r="L20" s="51"/>
      <c r="M20" s="53">
        <f t="shared" si="3"/>
        <v>0</v>
      </c>
      <c r="N20" s="55"/>
      <c r="Q20" s="10"/>
      <c r="R20" s="49"/>
    </row>
    <row r="21" spans="2:18" s="22" customFormat="1" ht="15.75" customHeight="1" x14ac:dyDescent="0.2">
      <c r="B21" s="90">
        <f>Summary!B21</f>
        <v>46235</v>
      </c>
      <c r="C21" s="50"/>
      <c r="D21" s="50"/>
      <c r="E21" s="50"/>
      <c r="F21" s="50"/>
      <c r="G21" s="51">
        <f t="shared" si="0"/>
        <v>0</v>
      </c>
      <c r="H21" s="52">
        <f t="shared" si="1"/>
        <v>0</v>
      </c>
      <c r="I21" s="53">
        <f t="shared" si="2"/>
        <v>0</v>
      </c>
      <c r="J21" s="54"/>
      <c r="K21" s="54"/>
      <c r="L21" s="51"/>
      <c r="M21" s="53">
        <f t="shared" si="3"/>
        <v>0</v>
      </c>
      <c r="N21" s="55"/>
      <c r="Q21" s="10"/>
      <c r="R21" s="49"/>
    </row>
    <row r="22" spans="2:18" s="22" customFormat="1" ht="15.75" customHeight="1" x14ac:dyDescent="0.2">
      <c r="B22" s="90">
        <f>Summary!B22</f>
        <v>46266</v>
      </c>
      <c r="C22" s="50"/>
      <c r="D22" s="50"/>
      <c r="E22" s="50"/>
      <c r="F22" s="50"/>
      <c r="G22" s="51">
        <f t="shared" si="0"/>
        <v>0</v>
      </c>
      <c r="H22" s="52">
        <f t="shared" si="1"/>
        <v>0</v>
      </c>
      <c r="I22" s="53">
        <f t="shared" si="2"/>
        <v>0</v>
      </c>
      <c r="J22" s="54"/>
      <c r="K22" s="54"/>
      <c r="L22" s="51"/>
      <c r="M22" s="53">
        <f t="shared" si="3"/>
        <v>0</v>
      </c>
      <c r="N22" s="125"/>
      <c r="Q22" s="10"/>
      <c r="R22" s="49"/>
    </row>
    <row r="23" spans="2:18" s="22" customFormat="1" ht="15.75" customHeight="1" x14ac:dyDescent="0.2">
      <c r="B23" s="90">
        <f>Summary!B23</f>
        <v>46296</v>
      </c>
      <c r="C23" s="50"/>
      <c r="D23" s="50"/>
      <c r="E23" s="50"/>
      <c r="F23" s="50"/>
      <c r="G23" s="51">
        <f t="shared" si="0"/>
        <v>0</v>
      </c>
      <c r="H23" s="52">
        <f t="shared" si="1"/>
        <v>0</v>
      </c>
      <c r="I23" s="53">
        <f t="shared" si="2"/>
        <v>0</v>
      </c>
      <c r="J23" s="54"/>
      <c r="K23" s="54"/>
      <c r="L23" s="51"/>
      <c r="M23" s="53">
        <f t="shared" si="3"/>
        <v>0</v>
      </c>
      <c r="N23" s="125"/>
      <c r="Q23" s="10"/>
      <c r="R23" s="49"/>
    </row>
    <row r="24" spans="2:18" s="22" customFormat="1" ht="15.75" customHeight="1" thickBot="1" x14ac:dyDescent="0.25">
      <c r="B24" s="56"/>
      <c r="C24" s="57"/>
      <c r="D24" s="57"/>
      <c r="E24" s="57"/>
      <c r="F24" s="57"/>
      <c r="G24" s="58"/>
      <c r="H24" s="59"/>
      <c r="I24" s="60"/>
      <c r="J24" s="61"/>
      <c r="K24" s="62"/>
      <c r="L24" s="63"/>
      <c r="M24" s="64"/>
      <c r="N24" s="65"/>
    </row>
    <row r="25" spans="2:18" s="72" customFormat="1" ht="15.75" customHeight="1" thickBot="1" x14ac:dyDescent="0.3">
      <c r="B25" s="66" t="s">
        <v>24</v>
      </c>
      <c r="C25" s="67">
        <f>AVERAGEIF(C12:C23,"&gt;0")</f>
        <v>18.75</v>
      </c>
      <c r="D25" s="67">
        <f>AVERAGEIF(D12:D23,"&gt;0")</f>
        <v>3</v>
      </c>
      <c r="E25" s="67">
        <f>AVERAGEIF(E12:E23,"&gt;0")</f>
        <v>1</v>
      </c>
      <c r="F25" s="67">
        <f>AVERAGEIF(F12:F23,"&gt;0")</f>
        <v>5.375</v>
      </c>
      <c r="G25" s="67">
        <f>AVERAGEIF(G12:G23,"&gt;0")</f>
        <v>28.125</v>
      </c>
      <c r="H25" s="68">
        <f>SUM(H11:H23)</f>
        <v>1248.75</v>
      </c>
      <c r="I25" s="68">
        <f>SUM(I11:I23)</f>
        <v>14022.839999999998</v>
      </c>
      <c r="J25" s="69">
        <f>SUM(J11:J23)</f>
        <v>12378.55</v>
      </c>
      <c r="K25" s="70">
        <f>SUM(K11:K23)</f>
        <v>6541.38</v>
      </c>
      <c r="L25" s="71">
        <f>SUM(L12:L23)</f>
        <v>29</v>
      </c>
      <c r="M25" s="68">
        <f>SUM(M12:M23)</f>
        <v>7481.4599999999991</v>
      </c>
      <c r="N25" s="117">
        <f>K25/I25</f>
        <v>0.46648039912029238</v>
      </c>
    </row>
    <row r="26" spans="2:18" s="22" customFormat="1" ht="15.75" customHeight="1" x14ac:dyDescent="0.2">
      <c r="J26" s="73"/>
      <c r="L26" s="74"/>
    </row>
    <row r="27" spans="2:18" s="22" customFormat="1" ht="15.75" customHeight="1" x14ac:dyDescent="0.25">
      <c r="B27" s="187" t="s">
        <v>25</v>
      </c>
      <c r="C27" s="188"/>
      <c r="D27" s="188"/>
      <c r="E27" s="188"/>
      <c r="F27" s="188"/>
      <c r="G27" s="189"/>
      <c r="H27" s="75"/>
      <c r="J27" s="181" t="s">
        <v>26</v>
      </c>
      <c r="K27" s="182"/>
      <c r="L27" s="182"/>
      <c r="M27" s="182"/>
      <c r="N27" s="183"/>
    </row>
    <row r="28" spans="2:18" s="22" customFormat="1" ht="15.75" customHeight="1" x14ac:dyDescent="0.2">
      <c r="B28" s="76"/>
      <c r="C28" s="182" t="s">
        <v>27</v>
      </c>
      <c r="D28" s="183"/>
      <c r="E28" s="190" t="s">
        <v>28</v>
      </c>
      <c r="F28" s="183"/>
      <c r="G28" s="77" t="s">
        <v>16</v>
      </c>
      <c r="H28" s="73"/>
      <c r="J28" s="178" t="s">
        <v>29</v>
      </c>
      <c r="K28" s="179"/>
      <c r="L28" s="179"/>
      <c r="M28" s="180"/>
      <c r="N28" s="150">
        <f>J25/L25</f>
        <v>426.8465517241379</v>
      </c>
    </row>
    <row r="29" spans="2:18" s="22" customFormat="1" ht="15.75" customHeight="1" x14ac:dyDescent="0.2">
      <c r="B29" s="79" t="s">
        <v>30</v>
      </c>
      <c r="C29" s="191">
        <v>39</v>
      </c>
      <c r="D29" s="192" t="str">
        <f>IF($A29="s",VLOOKUP("Print",'[1]Plan Input Form'!$C$6:$L$97,14),"")</f>
        <v/>
      </c>
      <c r="E29" s="193">
        <v>5.55</v>
      </c>
      <c r="F29" s="192" t="str">
        <f>IF($A29="s",VLOOKUP("Print",'[1]Plan Input Form'!$C$6:$L$97,14),"")</f>
        <v/>
      </c>
      <c r="G29" s="80">
        <f>C29+E29</f>
        <v>44.55</v>
      </c>
      <c r="H29" s="81"/>
      <c r="J29" s="178" t="s">
        <v>31</v>
      </c>
      <c r="K29" s="179"/>
      <c r="L29" s="179"/>
      <c r="M29" s="180"/>
      <c r="N29" s="150">
        <f>K25/L25</f>
        <v>225.56482758620689</v>
      </c>
    </row>
    <row r="30" spans="2:18" s="22" customFormat="1" ht="15.75" customHeight="1" x14ac:dyDescent="0.2">
      <c r="B30" s="82" t="str">
        <f>IF(D10="E+1","EE &amp; One","EE &amp; Spouse")</f>
        <v>EE &amp; Spouse</v>
      </c>
      <c r="C30" s="191">
        <v>79.37</v>
      </c>
      <c r="D30" s="192" t="str">
        <f>IF($A30="s",VLOOKUP("Print",'[1]Plan Input Form'!$C$6:$L$97,14),"")</f>
        <v/>
      </c>
      <c r="E30" s="193">
        <v>5.55</v>
      </c>
      <c r="F30" s="192" t="str">
        <f>IF($A30="s",VLOOKUP("Print",'[1]Plan Input Form'!$C$6:$L$97,14),"")</f>
        <v/>
      </c>
      <c r="G30" s="80">
        <f>C30+E30</f>
        <v>84.92</v>
      </c>
      <c r="H30" s="81"/>
      <c r="J30" s="178" t="s">
        <v>32</v>
      </c>
      <c r="K30" s="179"/>
      <c r="L30" s="179"/>
      <c r="M30" s="180"/>
      <c r="N30" s="151">
        <f>((L25/COUNTIF(G12:G23,"&gt;0"))*12)/G25</f>
        <v>1.5466666666666666</v>
      </c>
    </row>
    <row r="31" spans="2:18" s="22" customFormat="1" ht="15.75" customHeight="1" x14ac:dyDescent="0.2">
      <c r="B31" s="79" t="s">
        <v>33</v>
      </c>
      <c r="C31" s="191">
        <v>79.37</v>
      </c>
      <c r="D31" s="192" t="str">
        <f>IF($A31="s",VLOOKUP("Print",'[1]Plan Input Form'!$C$6:$L$97,14),"")</f>
        <v/>
      </c>
      <c r="E31" s="193">
        <v>5.55</v>
      </c>
      <c r="F31" s="192" t="str">
        <f>IF($A31="s",VLOOKUP("Print",'[1]Plan Input Form'!$C$6:$L$97,14),"")</f>
        <v/>
      </c>
      <c r="G31" s="80">
        <f>C31+E31</f>
        <v>84.92</v>
      </c>
      <c r="H31" s="81"/>
      <c r="J31" s="178" t="s">
        <v>34</v>
      </c>
      <c r="K31" s="179"/>
      <c r="L31" s="179"/>
      <c r="M31" s="180"/>
      <c r="N31" s="152">
        <f>K25/J25</f>
        <v>0.52844476937928919</v>
      </c>
    </row>
    <row r="32" spans="2:18" s="22" customFormat="1" ht="15.75" customHeight="1" x14ac:dyDescent="0.2">
      <c r="B32" s="79" t="s">
        <v>35</v>
      </c>
      <c r="C32" s="191">
        <v>131</v>
      </c>
      <c r="D32" s="192" t="str">
        <f>IF($A32="s",VLOOKUP("Print",'[1]Plan Input Form'!$C$6:$L$97,14),"")</f>
        <v/>
      </c>
      <c r="E32" s="193">
        <v>5.55</v>
      </c>
      <c r="F32" s="192" t="str">
        <f>IF($A32="s",VLOOKUP("Print",'[1]Plan Input Form'!$C$6:$L$97,14),"")</f>
        <v/>
      </c>
      <c r="G32" s="80">
        <f>C32+E32</f>
        <v>136.55000000000001</v>
      </c>
      <c r="H32" s="81"/>
      <c r="J32" s="178" t="s">
        <v>36</v>
      </c>
      <c r="K32" s="179"/>
      <c r="L32" s="179"/>
      <c r="M32" s="180"/>
      <c r="N32" s="150">
        <f>K25/G25/(COUNTIF(G12:G23,"&gt;0"))</f>
        <v>29.072800000000001</v>
      </c>
    </row>
    <row r="33" spans="2:14" s="22" customFormat="1" ht="15.75" customHeight="1" x14ac:dyDescent="0.2">
      <c r="C33" s="81"/>
      <c r="D33" s="81"/>
      <c r="E33" s="81"/>
      <c r="F33" s="85"/>
      <c r="G33" s="81"/>
      <c r="H33" s="81"/>
      <c r="J33" s="86"/>
      <c r="K33" s="86"/>
      <c r="L33" s="86"/>
      <c r="M33" s="86"/>
      <c r="N33" s="87"/>
    </row>
    <row r="34" spans="2:14" s="22" customFormat="1" ht="15.75" customHeight="1" thickBot="1" x14ac:dyDescent="0.25">
      <c r="J34" s="73"/>
      <c r="L34" s="74"/>
    </row>
    <row r="35" spans="2:14" s="22" customFormat="1" ht="15.75" customHeight="1" thickBot="1" x14ac:dyDescent="0.3">
      <c r="B35" s="209" t="s">
        <v>37</v>
      </c>
      <c r="C35" s="209"/>
      <c r="D35" s="209"/>
      <c r="E35" s="209"/>
      <c r="F35" s="209"/>
      <c r="G35" s="209"/>
      <c r="H35" s="75"/>
      <c r="J35" s="167" t="s">
        <v>41</v>
      </c>
      <c r="K35" s="168"/>
      <c r="L35" s="168"/>
      <c r="M35" s="168"/>
      <c r="N35" s="169"/>
    </row>
    <row r="36" spans="2:14" s="22" customFormat="1" ht="15.75" customHeight="1" x14ac:dyDescent="0.2">
      <c r="B36" s="210" t="s">
        <v>80</v>
      </c>
      <c r="C36" s="211"/>
      <c r="D36" s="211"/>
      <c r="E36" s="211"/>
      <c r="F36" s="211"/>
      <c r="G36" s="212"/>
      <c r="H36" s="89"/>
      <c r="J36" s="170" t="s">
        <v>29</v>
      </c>
      <c r="K36" s="171"/>
      <c r="L36" s="171"/>
      <c r="M36" s="172"/>
      <c r="N36" s="118">
        <v>368.56</v>
      </c>
    </row>
    <row r="37" spans="2:14" s="22" customFormat="1" ht="15.75" customHeight="1" x14ac:dyDescent="0.2">
      <c r="B37" s="203" t="s">
        <v>66</v>
      </c>
      <c r="C37" s="204"/>
      <c r="D37" s="204"/>
      <c r="E37" s="204"/>
      <c r="F37" s="204"/>
      <c r="G37" s="205"/>
      <c r="H37" s="89"/>
      <c r="J37" s="170" t="s">
        <v>31</v>
      </c>
      <c r="K37" s="171"/>
      <c r="L37" s="171"/>
      <c r="M37" s="172"/>
      <c r="N37" s="118">
        <v>244.47</v>
      </c>
    </row>
    <row r="38" spans="2:14" s="22" customFormat="1" ht="15.75" customHeight="1" x14ac:dyDescent="0.2">
      <c r="B38" s="203" t="s">
        <v>67</v>
      </c>
      <c r="C38" s="204"/>
      <c r="D38" s="204"/>
      <c r="E38" s="204"/>
      <c r="F38" s="204"/>
      <c r="G38" s="205"/>
      <c r="H38" s="89"/>
      <c r="J38" s="170" t="s">
        <v>32</v>
      </c>
      <c r="K38" s="171"/>
      <c r="L38" s="171"/>
      <c r="M38" s="172"/>
      <c r="N38" s="119">
        <v>1.1499999999999999</v>
      </c>
    </row>
    <row r="39" spans="2:14" s="22" customFormat="1" ht="15.75" customHeight="1" x14ac:dyDescent="0.2">
      <c r="B39" s="203" t="s">
        <v>68</v>
      </c>
      <c r="C39" s="204"/>
      <c r="D39" s="204"/>
      <c r="E39" s="204"/>
      <c r="F39" s="204"/>
      <c r="G39" s="205"/>
      <c r="H39" s="89"/>
      <c r="J39" s="170" t="s">
        <v>34</v>
      </c>
      <c r="K39" s="171"/>
      <c r="L39" s="171"/>
      <c r="M39" s="172"/>
      <c r="N39" s="120">
        <v>0.6633</v>
      </c>
    </row>
    <row r="40" spans="2:14" s="22" customFormat="1" ht="15" thickBot="1" x14ac:dyDescent="0.25">
      <c r="B40" s="206" t="s">
        <v>39</v>
      </c>
      <c r="C40" s="207"/>
      <c r="D40" s="207"/>
      <c r="E40" s="207"/>
      <c r="F40" s="207"/>
      <c r="G40" s="208"/>
      <c r="H40" s="89"/>
      <c r="J40" s="170" t="s">
        <v>36</v>
      </c>
      <c r="K40" s="171"/>
      <c r="L40" s="171"/>
      <c r="M40" s="172"/>
      <c r="N40" s="118">
        <v>23.49</v>
      </c>
    </row>
    <row r="41" spans="2:14" ht="15" x14ac:dyDescent="0.25">
      <c r="J41" s="175" t="s">
        <v>42</v>
      </c>
      <c r="K41" s="176"/>
      <c r="L41" s="176"/>
      <c r="M41" s="177"/>
      <c r="N41" s="118">
        <v>7859.66</v>
      </c>
    </row>
    <row r="43" spans="2:14" ht="10.15" customHeight="1" x14ac:dyDescent="0.2">
      <c r="B43" s="158" t="s">
        <v>43</v>
      </c>
      <c r="C43" s="159"/>
      <c r="D43" s="159"/>
      <c r="E43" s="159"/>
      <c r="F43" s="159"/>
      <c r="G43" s="159"/>
      <c r="H43" s="159"/>
      <c r="I43" s="159"/>
      <c r="J43" s="159"/>
      <c r="K43" s="159"/>
      <c r="L43" s="159"/>
      <c r="M43" s="159"/>
      <c r="N43" s="160"/>
    </row>
    <row r="44" spans="2:14" ht="10.15" customHeight="1" x14ac:dyDescent="0.2">
      <c r="B44" s="161"/>
      <c r="C44" s="162"/>
      <c r="D44" s="162"/>
      <c r="E44" s="162"/>
      <c r="F44" s="162"/>
      <c r="G44" s="162"/>
      <c r="H44" s="162"/>
      <c r="I44" s="162"/>
      <c r="J44" s="162"/>
      <c r="K44" s="162"/>
      <c r="L44" s="162"/>
      <c r="M44" s="162"/>
      <c r="N44" s="163"/>
    </row>
    <row r="45" spans="2:14" ht="10.15" customHeight="1" x14ac:dyDescent="0.2">
      <c r="B45" s="161"/>
      <c r="C45" s="162"/>
      <c r="D45" s="162"/>
      <c r="E45" s="162"/>
      <c r="F45" s="162"/>
      <c r="G45" s="162"/>
      <c r="H45" s="162"/>
      <c r="I45" s="162"/>
      <c r="J45" s="162"/>
      <c r="K45" s="162"/>
      <c r="L45" s="162"/>
      <c r="M45" s="162"/>
      <c r="N45" s="163"/>
    </row>
    <row r="46" spans="2:14" ht="10.15" customHeight="1" x14ac:dyDescent="0.2">
      <c r="B46" s="161"/>
      <c r="C46" s="162"/>
      <c r="D46" s="162"/>
      <c r="E46" s="162"/>
      <c r="F46" s="162"/>
      <c r="G46" s="162"/>
      <c r="H46" s="162"/>
      <c r="I46" s="162"/>
      <c r="J46" s="162"/>
      <c r="K46" s="162"/>
      <c r="L46" s="162"/>
      <c r="M46" s="162"/>
      <c r="N46" s="163"/>
    </row>
    <row r="47" spans="2:14" ht="10.15" customHeight="1" x14ac:dyDescent="0.2">
      <c r="B47" s="161"/>
      <c r="C47" s="162"/>
      <c r="D47" s="162"/>
      <c r="E47" s="162"/>
      <c r="F47" s="162"/>
      <c r="G47" s="162"/>
      <c r="H47" s="162"/>
      <c r="I47" s="162"/>
      <c r="J47" s="162"/>
      <c r="K47" s="162"/>
      <c r="L47" s="162"/>
      <c r="M47" s="162"/>
      <c r="N47" s="163"/>
    </row>
    <row r="48" spans="2:14" ht="10.15" customHeight="1" x14ac:dyDescent="0.2">
      <c r="B48" s="161"/>
      <c r="C48" s="162"/>
      <c r="D48" s="162"/>
      <c r="E48" s="162"/>
      <c r="F48" s="162"/>
      <c r="G48" s="162"/>
      <c r="H48" s="162"/>
      <c r="I48" s="162"/>
      <c r="J48" s="162"/>
      <c r="K48" s="162"/>
      <c r="L48" s="162"/>
      <c r="M48" s="162"/>
      <c r="N48" s="163"/>
    </row>
    <row r="49" spans="2:14" ht="10.15" customHeight="1" x14ac:dyDescent="0.2">
      <c r="B49" s="164"/>
      <c r="C49" s="165"/>
      <c r="D49" s="165"/>
      <c r="E49" s="165"/>
      <c r="F49" s="165"/>
      <c r="G49" s="165"/>
      <c r="H49" s="165"/>
      <c r="I49" s="165"/>
      <c r="J49" s="165"/>
      <c r="K49" s="165"/>
      <c r="L49" s="165"/>
      <c r="M49" s="165"/>
      <c r="N49" s="166"/>
    </row>
  </sheetData>
  <mergeCells count="44">
    <mergeCell ref="J41:M41"/>
    <mergeCell ref="B43:N49"/>
    <mergeCell ref="J35:N35"/>
    <mergeCell ref="J36:M36"/>
    <mergeCell ref="J37:M37"/>
    <mergeCell ref="J38:M38"/>
    <mergeCell ref="J39:M39"/>
    <mergeCell ref="J40:M40"/>
    <mergeCell ref="B37:G37"/>
    <mergeCell ref="B38:G38"/>
    <mergeCell ref="B39:G39"/>
    <mergeCell ref="B40:G40"/>
    <mergeCell ref="B35:G35"/>
    <mergeCell ref="B36:G36"/>
    <mergeCell ref="I8:L8"/>
    <mergeCell ref="M8:N8"/>
    <mergeCell ref="B1:N1"/>
    <mergeCell ref="B2:N2"/>
    <mergeCell ref="B5:C5"/>
    <mergeCell ref="D5:G5"/>
    <mergeCell ref="K5:L5"/>
    <mergeCell ref="M5:N5"/>
    <mergeCell ref="B6:C6"/>
    <mergeCell ref="D6:G6"/>
    <mergeCell ref="K6:L6"/>
    <mergeCell ref="M6:N6"/>
    <mergeCell ref="B8:G8"/>
    <mergeCell ref="J32:M32"/>
    <mergeCell ref="C29:D29"/>
    <mergeCell ref="E29:F29"/>
    <mergeCell ref="J29:M29"/>
    <mergeCell ref="C30:D30"/>
    <mergeCell ref="J30:M30"/>
    <mergeCell ref="C31:D31"/>
    <mergeCell ref="E31:F31"/>
    <mergeCell ref="J31:M31"/>
    <mergeCell ref="C32:D32"/>
    <mergeCell ref="E32:F32"/>
    <mergeCell ref="E30:F30"/>
    <mergeCell ref="B27:G27"/>
    <mergeCell ref="J27:N27"/>
    <mergeCell ref="C28:D28"/>
    <mergeCell ref="E28:F28"/>
    <mergeCell ref="J28:M28"/>
  </mergeCells>
  <phoneticPr fontId="0" type="noConversion"/>
  <pageMargins left="0.7" right="0.7" top="0.75" bottom="0.75" header="0.3" footer="0.3"/>
  <pageSetup scale="6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C1:K34"/>
  <sheetViews>
    <sheetView workbookViewId="0">
      <selection activeCell="L21" sqref="L21"/>
    </sheetView>
  </sheetViews>
  <sheetFormatPr defaultRowHeight="15" x14ac:dyDescent="0.25"/>
  <cols>
    <col min="3" max="3" width="31.140625" style="17" customWidth="1"/>
    <col min="4" max="4" width="15.7109375" style="116" customWidth="1"/>
    <col min="5" max="5" width="12.85546875" style="116" customWidth="1"/>
    <col min="6" max="6" width="12.28515625" style="116" customWidth="1"/>
    <col min="7" max="7" width="13.5703125" style="116" customWidth="1"/>
    <col min="8" max="8" width="15.85546875" style="116" customWidth="1"/>
    <col min="9" max="9" width="15.85546875" style="144" customWidth="1"/>
    <col min="10" max="10" width="14.85546875" style="132" customWidth="1"/>
    <col min="11" max="11" width="69.5703125" style="132" customWidth="1"/>
  </cols>
  <sheetData>
    <row r="1" spans="3:11" ht="18" x14ac:dyDescent="0.25">
      <c r="C1" s="154" t="str">
        <f>Summary!B1</f>
        <v>Mountainseed Appraisal Management, LLC.</v>
      </c>
      <c r="D1" s="154"/>
      <c r="E1" s="154"/>
      <c r="F1" s="154"/>
      <c r="G1" s="154"/>
      <c r="H1" s="154"/>
      <c r="I1" s="154"/>
      <c r="J1" s="154"/>
      <c r="K1" s="154"/>
    </row>
    <row r="2" spans="3:11" ht="18" x14ac:dyDescent="0.25">
      <c r="C2" s="213" t="s">
        <v>56</v>
      </c>
      <c r="D2" s="213"/>
      <c r="E2" s="213"/>
      <c r="F2" s="213"/>
      <c r="G2" s="213"/>
      <c r="H2" s="213"/>
      <c r="I2" s="213"/>
      <c r="J2" s="213"/>
      <c r="K2" s="213"/>
    </row>
    <row r="3" spans="3:11" ht="18" x14ac:dyDescent="0.25">
      <c r="C3" s="92"/>
      <c r="D3" s="92"/>
      <c r="E3" s="92"/>
      <c r="F3" s="92"/>
      <c r="G3" s="92"/>
      <c r="H3" s="92"/>
      <c r="I3" s="133"/>
      <c r="J3" s="128"/>
      <c r="K3" s="128"/>
    </row>
    <row r="4" spans="3:11" ht="18" x14ac:dyDescent="0.25">
      <c r="C4" s="93"/>
      <c r="D4" s="92" t="s">
        <v>45</v>
      </c>
      <c r="E4" s="94">
        <f>Summary!H3</f>
        <v>45962</v>
      </c>
      <c r="F4" s="213" t="s">
        <v>1</v>
      </c>
      <c r="G4" s="213"/>
      <c r="H4" s="94">
        <f>Summary!J3</f>
        <v>46326</v>
      </c>
      <c r="I4" s="134"/>
      <c r="J4" s="7"/>
      <c r="K4" s="129"/>
    </row>
    <row r="5" spans="3:11" ht="18" x14ac:dyDescent="0.25">
      <c r="C5" s="8"/>
      <c r="D5" s="95"/>
      <c r="E5" s="95"/>
      <c r="F5" s="95"/>
      <c r="G5" s="96"/>
      <c r="H5" s="96"/>
      <c r="I5" s="134"/>
      <c r="J5" s="129"/>
      <c r="K5" s="7"/>
    </row>
    <row r="6" spans="3:11" ht="18" x14ac:dyDescent="0.25">
      <c r="C6" s="5" t="s">
        <v>2</v>
      </c>
      <c r="D6" s="96" t="str">
        <f>Summary!D5</f>
        <v>S480</v>
      </c>
      <c r="E6" s="97"/>
      <c r="F6" s="97"/>
      <c r="G6" s="98"/>
      <c r="H6" s="99" t="s">
        <v>4</v>
      </c>
      <c r="I6" s="135"/>
      <c r="J6" s="214" t="str">
        <f>Summary!D6</f>
        <v>Dental</v>
      </c>
      <c r="K6" s="214"/>
    </row>
    <row r="7" spans="3:11" ht="18.75" thickBot="1" x14ac:dyDescent="0.3">
      <c r="C7" s="5"/>
      <c r="D7" s="96"/>
      <c r="E7" s="97"/>
      <c r="F7" s="97"/>
      <c r="G7" s="98"/>
      <c r="H7" s="99"/>
      <c r="I7" s="135"/>
      <c r="J7" s="129"/>
      <c r="K7" s="129"/>
    </row>
    <row r="8" spans="3:11" ht="45.75" thickBot="1" x14ac:dyDescent="0.3">
      <c r="C8" s="215" t="s">
        <v>46</v>
      </c>
      <c r="D8" s="217" t="s">
        <v>47</v>
      </c>
      <c r="E8" s="219" t="s">
        <v>48</v>
      </c>
      <c r="F8" s="220"/>
      <c r="G8" s="221"/>
      <c r="H8" s="222" t="s">
        <v>49</v>
      </c>
      <c r="I8" s="136" t="s">
        <v>77</v>
      </c>
      <c r="J8" s="224" t="s">
        <v>76</v>
      </c>
      <c r="K8" s="225"/>
    </row>
    <row r="9" spans="3:11" ht="29.25" customHeight="1" thickBot="1" x14ac:dyDescent="0.3">
      <c r="C9" s="216"/>
      <c r="D9" s="218"/>
      <c r="E9" s="100" t="s">
        <v>27</v>
      </c>
      <c r="F9" s="101" t="s">
        <v>50</v>
      </c>
      <c r="G9" s="101" t="s">
        <v>16</v>
      </c>
      <c r="H9" s="223"/>
      <c r="I9" s="137"/>
      <c r="J9" s="226"/>
      <c r="K9" s="227"/>
    </row>
    <row r="10" spans="3:11" ht="30.75" customHeight="1" x14ac:dyDescent="0.25">
      <c r="C10" s="102" t="s">
        <v>51</v>
      </c>
      <c r="D10" s="103"/>
      <c r="E10" s="103"/>
      <c r="F10" s="103"/>
      <c r="G10" s="103"/>
      <c r="H10" s="145">
        <v>7195.77</v>
      </c>
      <c r="I10" s="54"/>
      <c r="J10" s="230"/>
      <c r="K10" s="231"/>
    </row>
    <row r="11" spans="3:11" x14ac:dyDescent="0.25">
      <c r="C11" s="104">
        <f>Summary!B12</f>
        <v>45962</v>
      </c>
      <c r="D11" s="105">
        <v>0</v>
      </c>
      <c r="E11" s="54">
        <f>Summary!K12</f>
        <v>0</v>
      </c>
      <c r="F11" s="105">
        <f>Summary!H12</f>
        <v>510.59999999999997</v>
      </c>
      <c r="G11" s="105">
        <f>E11+F11</f>
        <v>510.59999999999997</v>
      </c>
      <c r="H11" s="127">
        <f>H10-G11</f>
        <v>6685.17</v>
      </c>
      <c r="I11" s="147"/>
      <c r="J11" s="232"/>
      <c r="K11" s="233"/>
    </row>
    <row r="12" spans="3:11" x14ac:dyDescent="0.25">
      <c r="C12" s="104">
        <f>Summary!B13</f>
        <v>45992</v>
      </c>
      <c r="D12" s="105">
        <v>19520.05</v>
      </c>
      <c r="E12" s="54">
        <f>Summary!K13</f>
        <v>12020.83</v>
      </c>
      <c r="F12" s="105">
        <f>Summary!H13</f>
        <v>499.49999999999994</v>
      </c>
      <c r="G12" s="105">
        <f>E12+F12</f>
        <v>12520.33</v>
      </c>
      <c r="H12" s="127">
        <f>D12-G12</f>
        <v>6999.7199999999993</v>
      </c>
      <c r="I12" s="147"/>
      <c r="J12" s="232"/>
      <c r="K12" s="233"/>
    </row>
    <row r="13" spans="3:11" x14ac:dyDescent="0.25">
      <c r="C13" s="104">
        <f>Summary!B14</f>
        <v>46023</v>
      </c>
      <c r="D13" s="105"/>
      <c r="E13" s="54">
        <f>Summary!K14</f>
        <v>2547.44</v>
      </c>
      <c r="F13" s="105">
        <f>Summary!H14</f>
        <v>499.49999999999994</v>
      </c>
      <c r="G13" s="105">
        <f>E13+F13</f>
        <v>3046.94</v>
      </c>
      <c r="H13" s="127">
        <f t="shared" ref="H13:H15" si="0">D13-G13</f>
        <v>-3046.94</v>
      </c>
      <c r="I13" s="147"/>
      <c r="J13" s="232"/>
      <c r="K13" s="233"/>
    </row>
    <row r="14" spans="3:11" x14ac:dyDescent="0.25">
      <c r="C14" s="104">
        <f>Summary!B15</f>
        <v>46054</v>
      </c>
      <c r="D14" s="105"/>
      <c r="E14" s="54">
        <f>Summary!K15</f>
        <v>5732.4</v>
      </c>
      <c r="F14" s="105">
        <f>Summary!H15</f>
        <v>471.75</v>
      </c>
      <c r="G14" s="105">
        <f>E14+F14</f>
        <v>6204.15</v>
      </c>
      <c r="H14" s="127">
        <f t="shared" si="0"/>
        <v>-6204.15</v>
      </c>
      <c r="I14" s="138"/>
      <c r="J14" s="228"/>
      <c r="K14" s="229"/>
    </row>
    <row r="15" spans="3:11" x14ac:dyDescent="0.25">
      <c r="C15" s="104">
        <f>Summary!B16</f>
        <v>46082</v>
      </c>
      <c r="D15" s="105">
        <v>8408.4500000000007</v>
      </c>
      <c r="E15" s="54">
        <f>Summary!K16</f>
        <v>5056.42</v>
      </c>
      <c r="F15" s="105">
        <f>Summary!H16</f>
        <v>488.4</v>
      </c>
      <c r="G15" s="105">
        <f>E15+F15</f>
        <v>5544.82</v>
      </c>
      <c r="H15" s="127">
        <f t="shared" si="0"/>
        <v>2863.630000000001</v>
      </c>
      <c r="I15" s="138"/>
      <c r="J15" s="228"/>
      <c r="K15" s="229"/>
    </row>
    <row r="16" spans="3:11" x14ac:dyDescent="0.25">
      <c r="C16" s="104">
        <f>Summary!B17</f>
        <v>46113</v>
      </c>
      <c r="D16" s="105"/>
      <c r="E16" s="54"/>
      <c r="F16" s="105"/>
      <c r="G16" s="105"/>
      <c r="H16" s="127"/>
      <c r="I16" s="138"/>
      <c r="J16" s="228"/>
      <c r="K16" s="229"/>
    </row>
    <row r="17" spans="3:11" x14ac:dyDescent="0.25">
      <c r="C17" s="104">
        <f>Summary!B18</f>
        <v>46143</v>
      </c>
      <c r="D17" s="105"/>
      <c r="E17" s="54"/>
      <c r="F17" s="105"/>
      <c r="G17" s="105"/>
      <c r="H17" s="127"/>
      <c r="I17" s="138"/>
      <c r="J17" s="228"/>
      <c r="K17" s="229"/>
    </row>
    <row r="18" spans="3:11" x14ac:dyDescent="0.25">
      <c r="C18" s="104">
        <f>Summary!B19</f>
        <v>46174</v>
      </c>
      <c r="D18" s="105"/>
      <c r="E18" s="54"/>
      <c r="F18" s="105"/>
      <c r="G18" s="105"/>
      <c r="H18" s="127"/>
      <c r="I18" s="138"/>
      <c r="J18" s="228"/>
      <c r="K18" s="229"/>
    </row>
    <row r="19" spans="3:11" x14ac:dyDescent="0.25">
      <c r="C19" s="104">
        <f>Summary!B20</f>
        <v>46204</v>
      </c>
      <c r="D19" s="105"/>
      <c r="E19" s="54"/>
      <c r="F19" s="105"/>
      <c r="G19" s="105"/>
      <c r="H19" s="127"/>
      <c r="I19" s="138"/>
      <c r="J19" s="228"/>
      <c r="K19" s="229"/>
    </row>
    <row r="20" spans="3:11" x14ac:dyDescent="0.25">
      <c r="C20" s="104">
        <f>Summary!B21</f>
        <v>46235</v>
      </c>
      <c r="D20" s="105"/>
      <c r="E20" s="54"/>
      <c r="F20" s="105"/>
      <c r="G20" s="105"/>
      <c r="H20" s="127"/>
      <c r="I20" s="138"/>
      <c r="J20" s="228"/>
      <c r="K20" s="229"/>
    </row>
    <row r="21" spans="3:11" x14ac:dyDescent="0.25">
      <c r="C21" s="104">
        <f>Summary!B22</f>
        <v>46266</v>
      </c>
      <c r="D21" s="105"/>
      <c r="E21" s="54"/>
      <c r="F21" s="105"/>
      <c r="G21" s="105"/>
      <c r="H21" s="124">
        <f t="shared" ref="H21:H22" si="1">D21-G21</f>
        <v>0</v>
      </c>
      <c r="I21" s="138"/>
      <c r="J21" s="228"/>
      <c r="K21" s="229"/>
    </row>
    <row r="22" spans="3:11" x14ac:dyDescent="0.25">
      <c r="C22" s="104">
        <f>Summary!B23</f>
        <v>46296</v>
      </c>
      <c r="D22" s="105"/>
      <c r="E22" s="54"/>
      <c r="F22" s="105"/>
      <c r="G22" s="105"/>
      <c r="H22" s="124">
        <f t="shared" si="1"/>
        <v>0</v>
      </c>
      <c r="I22" s="138"/>
      <c r="J22" s="228"/>
      <c r="K22" s="229"/>
    </row>
    <row r="23" spans="3:11" ht="15.75" thickBot="1" x14ac:dyDescent="0.3">
      <c r="C23" s="106"/>
      <c r="D23" s="107"/>
      <c r="E23" s="107"/>
      <c r="F23" s="107"/>
      <c r="G23" s="107"/>
      <c r="H23" s="108"/>
      <c r="I23" s="139"/>
      <c r="J23" s="237"/>
      <c r="K23" s="238"/>
    </row>
    <row r="24" spans="3:11" ht="15.75" thickBot="1" x14ac:dyDescent="0.3">
      <c r="C24" s="109" t="s">
        <v>16</v>
      </c>
      <c r="D24" s="110">
        <f>SUM(D11:D22)</f>
        <v>27928.5</v>
      </c>
      <c r="E24" s="110">
        <f>SUM(E11:E22)</f>
        <v>25357.089999999997</v>
      </c>
      <c r="F24" s="110">
        <f>SUM(F11:F22)</f>
        <v>2469.75</v>
      </c>
      <c r="G24" s="110">
        <f>SUM(G11:G22)</f>
        <v>27826.84</v>
      </c>
      <c r="H24" s="110">
        <f>SUM(H10:H22)</f>
        <v>14493.200000000003</v>
      </c>
      <c r="I24" s="140"/>
      <c r="J24" s="239"/>
      <c r="K24" s="240"/>
    </row>
    <row r="25" spans="3:11" x14ac:dyDescent="0.25">
      <c r="C25" s="22"/>
      <c r="D25" s="111"/>
      <c r="E25" s="111"/>
      <c r="F25" s="111"/>
      <c r="G25" s="111"/>
      <c r="H25" s="111"/>
      <c r="I25" s="141"/>
      <c r="J25" s="130"/>
      <c r="K25" s="130"/>
    </row>
    <row r="26" spans="3:11" ht="15.75" thickBot="1" x14ac:dyDescent="0.3">
      <c r="C26" s="241"/>
      <c r="D26" s="241"/>
      <c r="E26" s="241"/>
      <c r="F26" s="241"/>
      <c r="G26" s="241"/>
      <c r="H26" s="241"/>
      <c r="I26" s="241"/>
      <c r="J26" s="241"/>
    </row>
    <row r="27" spans="3:11" ht="15" customHeight="1" x14ac:dyDescent="0.25">
      <c r="C27" s="242" t="s">
        <v>52</v>
      </c>
      <c r="D27" s="243"/>
      <c r="E27" s="243"/>
      <c r="F27" s="243"/>
      <c r="G27" s="243"/>
      <c r="H27" s="243"/>
      <c r="I27" s="243"/>
      <c r="J27" s="243"/>
      <c r="K27" s="244"/>
    </row>
    <row r="28" spans="3:11" ht="15" customHeight="1" x14ac:dyDescent="0.25">
      <c r="C28" s="245" t="s">
        <v>53</v>
      </c>
      <c r="D28" s="246"/>
      <c r="E28" s="246"/>
      <c r="F28" s="246"/>
      <c r="G28" s="246"/>
      <c r="H28" s="246"/>
      <c r="I28" s="246"/>
      <c r="J28" s="246"/>
      <c r="K28" s="247"/>
    </row>
    <row r="29" spans="3:11" ht="15.75" customHeight="1" thickBot="1" x14ac:dyDescent="0.3">
      <c r="C29" s="234" t="s">
        <v>54</v>
      </c>
      <c r="D29" s="235"/>
      <c r="E29" s="235"/>
      <c r="F29" s="235"/>
      <c r="G29" s="235"/>
      <c r="H29" s="235"/>
      <c r="I29" s="235"/>
      <c r="J29" s="235"/>
      <c r="K29" s="236"/>
    </row>
    <row r="30" spans="3:11" x14ac:dyDescent="0.25">
      <c r="C30" s="112"/>
      <c r="D30" s="113"/>
      <c r="E30" s="113"/>
      <c r="F30" s="113"/>
      <c r="G30" s="113"/>
      <c r="H30" s="113"/>
      <c r="I30" s="142"/>
      <c r="J30" s="112"/>
      <c r="K30" s="112"/>
    </row>
    <row r="31" spans="3:11" x14ac:dyDescent="0.25">
      <c r="C31" s="112"/>
      <c r="D31" s="113"/>
      <c r="E31" s="113"/>
      <c r="F31" s="113"/>
      <c r="G31" s="113"/>
      <c r="H31" s="113"/>
      <c r="I31" s="142"/>
      <c r="J31" s="112"/>
      <c r="K31" s="112"/>
    </row>
    <row r="32" spans="3:11" x14ac:dyDescent="0.25">
      <c r="C32" s="114"/>
      <c r="D32" s="115"/>
      <c r="E32" s="115"/>
      <c r="F32" s="115"/>
      <c r="G32" s="115"/>
      <c r="H32" s="115"/>
      <c r="I32" s="143"/>
      <c r="J32" s="131"/>
      <c r="K32" s="131"/>
    </row>
    <row r="33" spans="3:11" x14ac:dyDescent="0.25">
      <c r="C33" s="114"/>
      <c r="D33" s="115"/>
      <c r="E33" s="115"/>
      <c r="F33" s="115"/>
      <c r="G33" s="115"/>
      <c r="H33" s="115"/>
      <c r="I33" s="143"/>
      <c r="J33" s="131"/>
      <c r="K33" s="131"/>
    </row>
    <row r="34" spans="3:11" x14ac:dyDescent="0.25">
      <c r="C34" s="114"/>
      <c r="D34" s="115"/>
      <c r="E34" s="115"/>
      <c r="F34" s="115"/>
      <c r="G34" s="115"/>
      <c r="H34" s="115"/>
      <c r="I34" s="143"/>
      <c r="J34" s="131"/>
      <c r="K34" s="131"/>
    </row>
  </sheetData>
  <mergeCells count="28">
    <mergeCell ref="C29:K29"/>
    <mergeCell ref="J22:K22"/>
    <mergeCell ref="J23:K23"/>
    <mergeCell ref="J24:K24"/>
    <mergeCell ref="C26:J26"/>
    <mergeCell ref="C27:K27"/>
    <mergeCell ref="C28:K28"/>
    <mergeCell ref="J21:K21"/>
    <mergeCell ref="J10:K10"/>
    <mergeCell ref="J11:K11"/>
    <mergeCell ref="J12:K12"/>
    <mergeCell ref="J13:K13"/>
    <mergeCell ref="J14:K14"/>
    <mergeCell ref="J15:K15"/>
    <mergeCell ref="J16:K16"/>
    <mergeCell ref="J17:K17"/>
    <mergeCell ref="J18:K18"/>
    <mergeCell ref="J19:K19"/>
    <mergeCell ref="J20:K20"/>
    <mergeCell ref="C1:K1"/>
    <mergeCell ref="C2:K2"/>
    <mergeCell ref="F4:G4"/>
    <mergeCell ref="J6:K6"/>
    <mergeCell ref="C8:C9"/>
    <mergeCell ref="D8:D9"/>
    <mergeCell ref="E8:G8"/>
    <mergeCell ref="H8:H9"/>
    <mergeCell ref="J8:K9"/>
  </mergeCells>
  <pageMargins left="0.7" right="0.7" top="0.75" bottom="0.75" header="0.3" footer="0.3"/>
  <pageSetup scale="5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GOLD</vt:lpstr>
      <vt:lpstr>Platinum</vt:lpstr>
      <vt:lpstr>SILVER</vt:lpstr>
      <vt:lpstr>Dental Acct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2026-07-01T19:37:39Z</cp:lastPrinted>
  <dcterms:created xsi:type="dcterms:W3CDTF">2010-01-16T14:52:12Z</dcterms:created>
  <dcterms:modified xsi:type="dcterms:W3CDTF">2026-07-01T19:37:49Z</dcterms:modified>
</cp:coreProperties>
</file>