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E219EC9A-D0F7-40A9-8149-B677E320ED0E}" xr6:coauthVersionLast="47" xr6:coauthVersionMax="47" xr10:uidLastSave="{00000000-0000-0000-0000-000000000000}"/>
  <bookViews>
    <workbookView xWindow="-105" yWindow="0" windowWidth="26010" windowHeight="20985" xr2:uid="{00000000-000D-0000-FFFF-FFFF00000000}"/>
  </bookViews>
  <sheets>
    <sheet name="Summary" sheetId="4" r:id="rId1"/>
    <sheet name="STANDARD" sheetId="1" r:id="rId2"/>
    <sheet name="PREMIUM" sheetId="2" r:id="rId3"/>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7" i="4" l="1"/>
  <c r="N17" i="2"/>
  <c r="N17" i="1"/>
  <c r="N16" i="4"/>
  <c r="N16" i="1"/>
  <c r="N16" i="2"/>
  <c r="M13" i="2"/>
  <c r="M14" i="2"/>
  <c r="M15" i="2"/>
  <c r="M18" i="2"/>
  <c r="M19" i="2"/>
  <c r="M20" i="2"/>
  <c r="M21" i="2"/>
  <c r="M22" i="2"/>
  <c r="M23" i="2"/>
  <c r="M12" i="2"/>
  <c r="N13" i="2"/>
  <c r="N14" i="2"/>
  <c r="N15" i="2"/>
  <c r="N12" i="2"/>
  <c r="N13" i="1"/>
  <c r="N14" i="1"/>
  <c r="N15" i="1"/>
  <c r="N12" i="1"/>
  <c r="M13" i="1"/>
  <c r="M14" i="1"/>
  <c r="M15" i="1"/>
  <c r="M18" i="1"/>
  <c r="M19" i="1"/>
  <c r="M20" i="1"/>
  <c r="M21" i="1"/>
  <c r="M22" i="1"/>
  <c r="M23" i="1"/>
  <c r="M12" i="1"/>
  <c r="N13" i="4"/>
  <c r="N14" i="4"/>
  <c r="N15" i="4"/>
  <c r="N12" i="4"/>
  <c r="L15" i="4"/>
  <c r="J15" i="4"/>
  <c r="K15" i="4"/>
  <c r="L14" i="4"/>
  <c r="L13" i="4"/>
  <c r="I12" i="1"/>
  <c r="K21" i="4"/>
  <c r="K12" i="2"/>
  <c r="J12" i="2"/>
  <c r="K13" i="4" l="1"/>
  <c r="K14" i="4"/>
  <c r="K16" i="4"/>
  <c r="K17" i="4"/>
  <c r="K18" i="4"/>
  <c r="K19" i="4"/>
  <c r="K20" i="4"/>
  <c r="K22" i="4"/>
  <c r="K23" i="4"/>
  <c r="J13" i="4" l="1"/>
  <c r="I13" i="2" l="1"/>
  <c r="I14" i="2"/>
  <c r="I15" i="2"/>
  <c r="I16" i="2"/>
  <c r="M16" i="2" s="1"/>
  <c r="I17" i="2"/>
  <c r="M17" i="2" s="1"/>
  <c r="I18" i="2"/>
  <c r="I19" i="2"/>
  <c r="I20" i="2"/>
  <c r="I21" i="2"/>
  <c r="I22" i="2"/>
  <c r="I23" i="2"/>
  <c r="I12" i="2"/>
  <c r="C12" i="4" l="1"/>
  <c r="D12" i="4"/>
  <c r="E12" i="4"/>
  <c r="F12" i="4"/>
  <c r="C13" i="4"/>
  <c r="D13" i="4"/>
  <c r="E13" i="4"/>
  <c r="F13" i="4"/>
  <c r="C14" i="4"/>
  <c r="D14" i="4"/>
  <c r="E14" i="4"/>
  <c r="F14" i="4"/>
  <c r="C15" i="4"/>
  <c r="D15" i="4"/>
  <c r="E15" i="4"/>
  <c r="F15" i="4"/>
  <c r="C16" i="4"/>
  <c r="D16" i="4"/>
  <c r="E16" i="4"/>
  <c r="F16" i="4"/>
  <c r="C17" i="4"/>
  <c r="D17" i="4"/>
  <c r="E17" i="4"/>
  <c r="F17" i="4"/>
  <c r="C18" i="4"/>
  <c r="D18" i="4"/>
  <c r="E18" i="4"/>
  <c r="F18" i="4"/>
  <c r="C19" i="4"/>
  <c r="D19" i="4"/>
  <c r="E19" i="4"/>
  <c r="F19" i="4"/>
  <c r="C20" i="4"/>
  <c r="D20" i="4"/>
  <c r="E20" i="4"/>
  <c r="F20" i="4"/>
  <c r="C21" i="4"/>
  <c r="D21" i="4"/>
  <c r="E21" i="4"/>
  <c r="F21" i="4"/>
  <c r="C22" i="4"/>
  <c r="D22" i="4"/>
  <c r="E22" i="4"/>
  <c r="F22" i="4"/>
  <c r="C23" i="4"/>
  <c r="D23" i="4"/>
  <c r="E23" i="4"/>
  <c r="F23" i="4"/>
  <c r="B13" i="2"/>
  <c r="B14" i="2"/>
  <c r="B15" i="2"/>
  <c r="B16" i="2"/>
  <c r="B17" i="2"/>
  <c r="B18" i="2"/>
  <c r="B19" i="2"/>
  <c r="B20" i="2"/>
  <c r="B21" i="2"/>
  <c r="B22" i="2"/>
  <c r="B23" i="2"/>
  <c r="B12" i="2"/>
  <c r="B13" i="1"/>
  <c r="B14" i="1"/>
  <c r="B15" i="1"/>
  <c r="B16" i="1"/>
  <c r="B17" i="1"/>
  <c r="B18" i="1"/>
  <c r="B19" i="1"/>
  <c r="B20" i="1"/>
  <c r="B21" i="1"/>
  <c r="B22" i="1"/>
  <c r="B23" i="1"/>
  <c r="B12" i="1"/>
  <c r="G18" i="1" l="1"/>
  <c r="D5" i="2" l="1"/>
  <c r="J3" i="2"/>
  <c r="H3" i="2"/>
  <c r="J3" i="1"/>
  <c r="H3" i="1"/>
  <c r="D5" i="1"/>
  <c r="E25" i="2"/>
  <c r="E25" i="1"/>
  <c r="B2" i="2"/>
  <c r="B2" i="1"/>
  <c r="B1" i="2"/>
  <c r="G12" i="2"/>
  <c r="H12" i="2"/>
  <c r="G13" i="2"/>
  <c r="H13" i="2"/>
  <c r="G14" i="2"/>
  <c r="H14" i="2"/>
  <c r="G15" i="2"/>
  <c r="H15" i="2"/>
  <c r="G16" i="2"/>
  <c r="H16" i="2"/>
  <c r="G17" i="2"/>
  <c r="H17" i="2"/>
  <c r="G18" i="2"/>
  <c r="G18" i="4" s="1"/>
  <c r="H18" i="2"/>
  <c r="G19" i="2"/>
  <c r="H19" i="2"/>
  <c r="G20" i="2"/>
  <c r="H20" i="2"/>
  <c r="G21" i="2"/>
  <c r="H21" i="2"/>
  <c r="G22" i="2"/>
  <c r="H22" i="2"/>
  <c r="G23" i="2"/>
  <c r="H23" i="2"/>
  <c r="C25" i="2"/>
  <c r="D25" i="2"/>
  <c r="F25" i="2"/>
  <c r="J25" i="2"/>
  <c r="K25" i="2"/>
  <c r="L25" i="2"/>
  <c r="G29" i="2"/>
  <c r="B30" i="2"/>
  <c r="G30" i="2"/>
  <c r="G31" i="2"/>
  <c r="G32" i="2"/>
  <c r="B1" i="1"/>
  <c r="G12" i="1"/>
  <c r="H12" i="1"/>
  <c r="G13" i="1"/>
  <c r="H13" i="1"/>
  <c r="I13" i="1"/>
  <c r="G14" i="1"/>
  <c r="H14" i="1"/>
  <c r="I14" i="1"/>
  <c r="G15" i="1"/>
  <c r="H15" i="1"/>
  <c r="I15" i="1"/>
  <c r="G16" i="1"/>
  <c r="H16" i="1"/>
  <c r="I16" i="1"/>
  <c r="M16" i="1" s="1"/>
  <c r="G17" i="1"/>
  <c r="H17" i="1"/>
  <c r="I17" i="1"/>
  <c r="M17" i="1" s="1"/>
  <c r="H18" i="1"/>
  <c r="I18" i="1"/>
  <c r="G19" i="1"/>
  <c r="H19" i="1"/>
  <c r="I19" i="1"/>
  <c r="G20" i="1"/>
  <c r="H20" i="1"/>
  <c r="I20" i="1"/>
  <c r="G21" i="1"/>
  <c r="H21" i="1"/>
  <c r="I21" i="1"/>
  <c r="G22" i="1"/>
  <c r="H22" i="1"/>
  <c r="I22" i="1"/>
  <c r="G23" i="1"/>
  <c r="H23" i="1"/>
  <c r="I23" i="1"/>
  <c r="C25" i="1"/>
  <c r="D25" i="1"/>
  <c r="F25" i="1"/>
  <c r="J25" i="1"/>
  <c r="K25" i="1"/>
  <c r="L25" i="1"/>
  <c r="G29" i="1"/>
  <c r="B30" i="1"/>
  <c r="G30" i="1"/>
  <c r="G31" i="1"/>
  <c r="G32" i="1"/>
  <c r="J14" i="4"/>
  <c r="J16" i="4"/>
  <c r="J17" i="4"/>
  <c r="J18" i="4"/>
  <c r="J19" i="4"/>
  <c r="C25" i="4"/>
  <c r="J20" i="4"/>
  <c r="J21" i="4"/>
  <c r="J22" i="4"/>
  <c r="J23" i="4"/>
  <c r="D25" i="4"/>
  <c r="H17" i="4" l="1"/>
  <c r="G16" i="4"/>
  <c r="H21" i="4"/>
  <c r="H20" i="4"/>
  <c r="I13" i="4"/>
  <c r="H22" i="4"/>
  <c r="G23" i="4"/>
  <c r="H23" i="4"/>
  <c r="G22" i="4"/>
  <c r="G21" i="4"/>
  <c r="G20" i="4"/>
  <c r="H19" i="4"/>
  <c r="H18" i="4"/>
  <c r="G15" i="4"/>
  <c r="G13" i="4"/>
  <c r="I21" i="4"/>
  <c r="G19" i="4"/>
  <c r="G17" i="4"/>
  <c r="H13" i="4"/>
  <c r="G14" i="4"/>
  <c r="I15" i="4"/>
  <c r="I20" i="4"/>
  <c r="H12" i="4"/>
  <c r="G12" i="4"/>
  <c r="H25" i="2"/>
  <c r="I18" i="4"/>
  <c r="I16" i="4"/>
  <c r="N28" i="1"/>
  <c r="I12" i="4"/>
  <c r="I23" i="4"/>
  <c r="I22" i="4"/>
  <c r="N31" i="2"/>
  <c r="I19" i="4"/>
  <c r="I17" i="4"/>
  <c r="I25" i="2"/>
  <c r="N25" i="2" s="1"/>
  <c r="N28" i="2"/>
  <c r="N29" i="2"/>
  <c r="H16" i="4"/>
  <c r="H25" i="1"/>
  <c r="G25" i="2"/>
  <c r="N32" i="2" s="1"/>
  <c r="L25" i="4"/>
  <c r="K25" i="4"/>
  <c r="J25" i="4"/>
  <c r="F25" i="4"/>
  <c r="H15" i="4"/>
  <c r="E25" i="4"/>
  <c r="N29" i="1"/>
  <c r="N31" i="1"/>
  <c r="I25" i="1"/>
  <c r="N25" i="1" s="1"/>
  <c r="I14" i="4"/>
  <c r="G25" i="1"/>
  <c r="H14" i="4"/>
  <c r="M12" i="4" l="1"/>
  <c r="M21" i="4"/>
  <c r="G25" i="4"/>
  <c r="N30" i="4" s="1"/>
  <c r="M20" i="4"/>
  <c r="M15" i="4"/>
  <c r="M22" i="4"/>
  <c r="H25" i="4"/>
  <c r="M23" i="4"/>
  <c r="M18" i="4"/>
  <c r="M25" i="2"/>
  <c r="M17" i="4"/>
  <c r="M13" i="4"/>
  <c r="M14" i="4"/>
  <c r="I25" i="4"/>
  <c r="N25" i="4" s="1"/>
  <c r="M19" i="4"/>
  <c r="N30" i="2"/>
  <c r="N28" i="4"/>
  <c r="N29" i="4"/>
  <c r="M16" i="4"/>
  <c r="N31" i="4"/>
  <c r="M25" i="1"/>
  <c r="N30" i="1"/>
  <c r="N32" i="1"/>
  <c r="N32" i="4" l="1"/>
  <c r="M25" i="4"/>
</calcChain>
</file>

<file path=xl/sharedStrings.xml><?xml version="1.0" encoding="utf-8"?>
<sst xmlns="http://schemas.openxmlformats.org/spreadsheetml/2006/main" count="166" uniqueCount="62">
  <si>
    <t>Plan Year:</t>
  </si>
  <si>
    <t>through</t>
  </si>
  <si>
    <t>Group ID:</t>
  </si>
  <si>
    <t>Plan Name:</t>
  </si>
  <si>
    <t>Coverage:</t>
  </si>
  <si>
    <t>Plan ID:</t>
  </si>
  <si>
    <t>ENROLLMENT</t>
  </si>
  <si>
    <t>ADMIN</t>
  </si>
  <si>
    <t>CLAIMS</t>
  </si>
  <si>
    <t>PROFIT OR LOSS</t>
  </si>
  <si>
    <t>Surplus/</t>
  </si>
  <si>
    <t>Loss</t>
  </si>
  <si>
    <t>Mon, Yr</t>
  </si>
  <si>
    <t>EE</t>
  </si>
  <si>
    <t>EC</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</si>
  <si>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</si>
  <si>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</si>
  <si>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</si>
  <si>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</si>
  <si>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</si>
  <si>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</si>
  <si>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</si>
  <si>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</si>
  <si>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</si>
  <si>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</si>
  <si>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</si>
  <si>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</si>
  <si>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</si>
  <si>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</si>
  <si>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</si>
  <si>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</si>
  <si>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</si>
  <si>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</si>
  <si>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 xml:space="preserve">EE &amp; Children </t>
  </si>
  <si>
    <t>Average Reimbursement % of Submitted Charges</t>
  </si>
  <si>
    <t xml:space="preserve">EE &amp; Family </t>
  </si>
  <si>
    <t>Average Claim Paid per Employee per Month</t>
  </si>
  <si>
    <t>Plan Design</t>
  </si>
  <si>
    <t>ES</t>
  </si>
  <si>
    <t>Assignment of Benefits</t>
  </si>
  <si>
    <t>Summary</t>
  </si>
  <si>
    <t>Prior Year Data</t>
  </si>
  <si>
    <t>Surplus (Deficit)</t>
  </si>
  <si>
    <t>Monthly Performance Report - Budgeted vs Actual Claims Paid</t>
  </si>
  <si>
    <t>Dental</t>
  </si>
  <si>
    <t>High</t>
  </si>
  <si>
    <t>Low</t>
  </si>
  <si>
    <t>E+S</t>
  </si>
  <si>
    <t>Annual Maximum Amount $1,000</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</si>
  <si>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</si>
  <si>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
  </si>
  <si>
    <t>Florida Health Care Plan, Inc.</t>
  </si>
  <si>
    <t>S451</t>
  </si>
  <si>
    <t>S451DEN STANDARD</t>
  </si>
  <si>
    <t>S451DEN PREMIUM</t>
  </si>
  <si>
    <t>Ortho covered for Children only to age 19</t>
  </si>
  <si>
    <t>Annual Maximum Amount $1,500</t>
  </si>
  <si>
    <t xml:space="preserve">Ortho is not covered </t>
  </si>
  <si>
    <t>100% of the first $200</t>
  </si>
  <si>
    <t>50% of the remaining maximum</t>
  </si>
  <si>
    <t>100% of the first $250, then 80% next $100</t>
  </si>
  <si>
    <t>S451DEN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</si>
</sst>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9" x14ac:knownFonts="1">
    <font>
      <sz val="11"/>
      <color theme="1"/>
      <name val="Calibri"/>
      <family val="2"/>
      <scheme val="minor"/>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u/>
      <sz val="12"/>
      <name val="Arial"/>
      <family val="2"/>
    </font>
    <font>
      <b/>
      <sz val="12"/>
      <color rgb="FF00B050"/>
      <name val="Arial"/>
      <family val="2"/>
    </font>
    <font>
      <sz val="12"/>
      <color rgb="FF00B050"/>
      <name val="Arial"/>
      <family val="2"/>
    </font>
    <font>
      <sz val="12"/>
      <color theme="1"/>
      <name val="Arial"/>
      <family val="2"/>
    </font>
    <font>
      <b/>
      <sz val="12"/>
      <color rgb="FFFF0000"/>
      <name val="Arial"/>
      <family val="2"/>
    </font>
    <font>
      <sz val="12"/>
      <color rgb="FFFF0000"/>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4">
    <xf numFmtId="0" fontId="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cellStyleXfs>
  <cellXfs count="167">
    <xf numFmtId="0" fontId="0" fillId="0" borderId="0" xfId="0"/>
    <xf numFmtId="0" fontId="2" fillId="0" borderId="0" xfId="0" applyFont="1"/>
    <xf numFmtId="0" fontId="3" fillId="0" borderId="0" xfId="0" applyFont="1" applyAlignment="1">
      <alignment horizontal="center"/>
    </xf>
    <xf numFmtId="0" fontId="1" fillId="0" borderId="0" xfId="0" applyFont="1"/>
    <xf numFmtId="0" fontId="4" fillId="0" borderId="0" xfId="0" applyFont="1" applyAlignment="1">
      <alignment horizontal="right"/>
    </xf>
    <xf numFmtId="0" fontId="3" fillId="0" borderId="0" xfId="0" applyFont="1" applyAlignment="1">
      <alignment horizontal="right"/>
    </xf>
    <xf numFmtId="164" fontId="1" fillId="0" borderId="0" xfId="0" applyNumberFormat="1" applyFont="1" applyAlignment="1">
      <alignment horizontal="center"/>
    </xf>
    <xf numFmtId="0" fontId="2" fillId="0" borderId="0" xfId="0" applyFont="1" applyAlignment="1">
      <alignment horizontal="center" wrapText="1"/>
    </xf>
    <xf numFmtId="0" fontId="5" fillId="0" borderId="0" xfId="0" applyFont="1" applyAlignment="1">
      <alignment horizontal="center"/>
    </xf>
    <xf numFmtId="0" fontId="6" fillId="0" borderId="0" xfId="0" applyFont="1" applyAlignment="1">
      <alignment horizontal="right"/>
    </xf>
    <xf numFmtId="165" fontId="7" fillId="0" borderId="0" xfId="1" applyNumberFormat="1" applyFont="1"/>
    <xf numFmtId="0" fontId="1" fillId="0" borderId="0" xfId="0" applyFont="1" applyAlignment="1">
      <alignment horizontal="right"/>
    </xf>
    <xf numFmtId="0" fontId="8" fillId="0" borderId="0" xfId="0" applyFont="1"/>
    <xf numFmtId="0" fontId="1" fillId="0" borderId="0" xfId="0" applyFont="1" applyAlignment="1">
      <alignment horizontal="center"/>
    </xf>
    <xf numFmtId="0" fontId="3" fillId="0" borderId="0" xfId="0" applyFont="1"/>
    <xf numFmtId="0" fontId="1" fillId="0" borderId="0" xfId="0" applyFont="1" applyAlignment="1">
      <alignment horizontal="left"/>
    </xf>
    <xf numFmtId="164" fontId="3" fillId="0" borderId="0" xfId="0" applyNumberFormat="1" applyFont="1" applyAlignment="1">
      <alignment horizontal="center"/>
    </xf>
    <xf numFmtId="0" fontId="9" fillId="0" borderId="0" xfId="0" applyFont="1"/>
    <xf numFmtId="7" fontId="9" fillId="0" borderId="0" xfId="0" applyNumberFormat="1" applyFont="1"/>
    <xf numFmtId="0" fontId="9" fillId="0" borderId="0" xfId="0" applyFont="1" applyAlignment="1">
      <alignment horizontal="center"/>
    </xf>
    <xf numFmtId="0" fontId="9" fillId="0" borderId="0" xfId="0" applyFont="1" applyAlignment="1">
      <alignment horizontal="center" wrapText="1"/>
    </xf>
    <xf numFmtId="44" fontId="12" fillId="0" borderId="0" xfId="2" applyFont="1" applyAlignment="1">
      <alignment horizontal="right"/>
    </xf>
    <xf numFmtId="0" fontId="12" fillId="0" borderId="0" xfId="0" applyFont="1"/>
    <xf numFmtId="2" fontId="11" fillId="0" borderId="1" xfId="0" applyNumberFormat="1" applyFont="1" applyBorder="1" applyAlignment="1">
      <alignment horizontal="center" vertical="center"/>
    </xf>
    <xf numFmtId="0" fontId="11" fillId="0" borderId="2" xfId="0" applyFont="1" applyBorder="1"/>
    <xf numFmtId="166" fontId="11" fillId="0" borderId="0" xfId="0" applyNumberFormat="1" applyFont="1" applyAlignment="1">
      <alignment horizontal="right"/>
    </xf>
    <xf numFmtId="0" fontId="11" fillId="0" borderId="0" xfId="0" applyFont="1" applyAlignment="1">
      <alignment horizontal="right"/>
    </xf>
    <xf numFmtId="0" fontId="11" fillId="0" borderId="3" xfId="0" applyFont="1" applyBorder="1" applyAlignment="1">
      <alignment horizontal="right"/>
    </xf>
    <xf numFmtId="0" fontId="11" fillId="0" borderId="4" xfId="0" applyFont="1" applyBorder="1" applyAlignment="1">
      <alignment horizontal="center"/>
    </xf>
    <xf numFmtId="0" fontId="11" fillId="0" borderId="5" xfId="0" applyFont="1" applyBorder="1" applyAlignment="1">
      <alignment horizontal="center" wrapText="1"/>
    </xf>
    <xf numFmtId="0" fontId="11" fillId="0" borderId="6" xfId="0" applyFont="1" applyBorder="1" applyAlignment="1">
      <alignment horizontal="center"/>
    </xf>
    <xf numFmtId="0" fontId="11" fillId="0" borderId="5" xfId="0" applyFont="1" applyBorder="1" applyAlignment="1">
      <alignment horizontal="center"/>
    </xf>
    <xf numFmtId="0" fontId="11" fillId="0" borderId="7" xfId="0" applyFont="1" applyBorder="1" applyAlignment="1">
      <alignment horizontal="right"/>
    </xf>
    <xf numFmtId="166" fontId="11" fillId="0" borderId="8" xfId="0" applyNumberFormat="1" applyFont="1" applyBorder="1" applyAlignment="1">
      <alignment horizontal="right"/>
    </xf>
    <xf numFmtId="165" fontId="11" fillId="0" borderId="0" xfId="1" applyNumberFormat="1" applyFont="1" applyAlignment="1">
      <alignment horizontal="right"/>
    </xf>
    <xf numFmtId="166" fontId="11" fillId="0" borderId="9" xfId="0" applyNumberFormat="1" applyFont="1" applyBorder="1" applyAlignment="1">
      <alignment horizontal="center"/>
    </xf>
    <xf numFmtId="0" fontId="11" fillId="0" borderId="8" xfId="0" applyFont="1" applyBorder="1" applyAlignment="1">
      <alignment horizontal="center"/>
    </xf>
    <xf numFmtId="0" fontId="11" fillId="0" borderId="10" xfId="0" applyFont="1" applyBorder="1" applyAlignment="1">
      <alignment horizontal="center" wrapText="1"/>
    </xf>
    <xf numFmtId="0" fontId="11" fillId="0" borderId="7" xfId="0" applyFont="1" applyBorder="1" applyAlignment="1">
      <alignment horizontal="center"/>
    </xf>
    <xf numFmtId="0" fontId="11" fillId="0" borderId="10" xfId="0" applyFont="1" applyBorder="1" applyAlignment="1">
      <alignment horizontal="center"/>
    </xf>
    <xf numFmtId="17" fontId="12" fillId="0" borderId="6" xfId="0" quotePrefix="1" applyNumberFormat="1" applyFont="1" applyBorder="1" applyAlignment="1">
      <alignment horizontal="right"/>
    </xf>
    <xf numFmtId="165" fontId="12" fillId="0" borderId="4" xfId="1" applyNumberFormat="1" applyFont="1" applyBorder="1" applyAlignment="1">
      <alignment horizontal="right"/>
    </xf>
    <xf numFmtId="165" fontId="12" fillId="0" borderId="5" xfId="1" applyNumberFormat="1" applyFont="1" applyBorder="1" applyAlignment="1">
      <alignment horizontal="right"/>
    </xf>
    <xf numFmtId="44" fontId="12" fillId="0" borderId="11" xfId="2" applyFont="1" applyBorder="1" applyAlignment="1">
      <alignment horizontal="right"/>
    </xf>
    <xf numFmtId="44" fontId="12" fillId="0" borderId="6" xfId="2" applyFont="1" applyBorder="1" applyAlignment="1">
      <alignment horizontal="right"/>
    </xf>
    <xf numFmtId="44" fontId="12" fillId="0" borderId="4" xfId="2" applyFont="1" applyBorder="1" applyAlignment="1">
      <alignment horizontal="center"/>
    </xf>
    <xf numFmtId="44" fontId="12" fillId="0" borderId="4" xfId="2" applyFont="1" applyBorder="1"/>
    <xf numFmtId="165" fontId="12" fillId="0" borderId="5" xfId="1" applyNumberFormat="1" applyFont="1" applyBorder="1" applyAlignment="1">
      <alignment horizontal="center" wrapText="1"/>
    </xf>
    <xf numFmtId="44" fontId="12" fillId="0" borderId="6" xfId="2" applyFont="1" applyBorder="1"/>
    <xf numFmtId="10" fontId="12" fillId="0" borderId="5" xfId="3" applyNumberFormat="1" applyFont="1" applyBorder="1"/>
    <xf numFmtId="165" fontId="12" fillId="0" borderId="0" xfId="0" applyNumberFormat="1" applyFont="1"/>
    <xf numFmtId="17" fontId="12" fillId="0" borderId="2" xfId="0" applyNumberFormat="1" applyFont="1" applyBorder="1" applyAlignment="1">
      <alignment horizontal="right"/>
    </xf>
    <xf numFmtId="165" fontId="12" fillId="0" borderId="0" xfId="1" applyNumberFormat="1" applyFont="1" applyAlignment="1">
      <alignment horizontal="right"/>
    </xf>
    <xf numFmtId="165" fontId="12" fillId="0" borderId="12" xfId="1" applyNumberFormat="1" applyFont="1" applyBorder="1" applyAlignment="1">
      <alignment horizontal="right"/>
    </xf>
    <xf numFmtId="44" fontId="12" fillId="0" borderId="3" xfId="2" applyFont="1" applyBorder="1" applyAlignment="1">
      <alignment horizontal="right"/>
    </xf>
    <xf numFmtId="44" fontId="12" fillId="0" borderId="2" xfId="2" applyFont="1" applyBorder="1" applyAlignment="1">
      <alignment horizontal="right"/>
    </xf>
    <xf numFmtId="10" fontId="12" fillId="0" borderId="12" xfId="3" applyNumberFormat="1" applyFont="1" applyBorder="1" applyAlignment="1">
      <alignment horizontal="right"/>
    </xf>
    <xf numFmtId="165" fontId="12" fillId="0" borderId="0" xfId="1" applyNumberFormat="1" applyFont="1"/>
    <xf numFmtId="17" fontId="12" fillId="0" borderId="7" xfId="0" applyNumberFormat="1" applyFont="1" applyBorder="1" applyAlignment="1">
      <alignment horizontal="right"/>
    </xf>
    <xf numFmtId="165" fontId="12" fillId="0" borderId="8" xfId="1" applyNumberFormat="1" applyFont="1" applyBorder="1" applyAlignment="1">
      <alignment horizontal="right"/>
    </xf>
    <xf numFmtId="165" fontId="12" fillId="0" borderId="10" xfId="1" applyNumberFormat="1" applyFont="1" applyBorder="1" applyAlignment="1">
      <alignment horizontal="right"/>
    </xf>
    <xf numFmtId="44" fontId="12" fillId="0" borderId="9" xfId="2" applyFont="1" applyBorder="1" applyAlignment="1">
      <alignment horizontal="right"/>
    </xf>
    <xf numFmtId="44" fontId="12" fillId="0" borderId="7" xfId="2" applyFont="1" applyBorder="1" applyAlignment="1">
      <alignment horizontal="right"/>
    </xf>
    <xf numFmtId="44" fontId="12" fillId="0" borderId="8" xfId="2" applyFont="1" applyBorder="1" applyAlignment="1">
      <alignment horizontal="center"/>
    </xf>
    <xf numFmtId="44" fontId="12" fillId="0" borderId="8" xfId="2" applyFont="1" applyBorder="1"/>
    <xf numFmtId="165" fontId="12" fillId="0" borderId="10" xfId="1" applyNumberFormat="1" applyFont="1" applyBorder="1" applyAlignment="1">
      <alignment horizontal="center" wrapText="1"/>
    </xf>
    <xf numFmtId="44" fontId="12" fillId="0" borderId="7" xfId="2" applyFont="1" applyBorder="1"/>
    <xf numFmtId="10" fontId="12" fillId="0" borderId="10" xfId="3" applyNumberFormat="1" applyFont="1" applyBorder="1" applyAlignment="1">
      <alignment horizontal="center"/>
    </xf>
    <xf numFmtId="0" fontId="11" fillId="0" borderId="13" xfId="0" applyFont="1" applyBorder="1" applyAlignment="1">
      <alignment horizontal="right"/>
    </xf>
    <xf numFmtId="165" fontId="11" fillId="0" borderId="14" xfId="1" applyNumberFormat="1" applyFont="1" applyBorder="1" applyAlignment="1">
      <alignment horizontal="right"/>
    </xf>
    <xf numFmtId="44" fontId="11" fillId="0" borderId="13" xfId="2" applyFont="1" applyBorder="1"/>
    <xf numFmtId="44" fontId="11" fillId="0" borderId="14" xfId="2" applyFont="1" applyBorder="1"/>
    <xf numFmtId="44" fontId="11" fillId="0" borderId="14" xfId="2" applyFont="1" applyBorder="1" applyAlignment="1">
      <alignment horizontal="right"/>
    </xf>
    <xf numFmtId="165" fontId="11" fillId="0" borderId="15" xfId="1" applyNumberFormat="1" applyFont="1" applyBorder="1" applyAlignment="1">
      <alignment horizontal="center" wrapText="1"/>
    </xf>
    <xf numFmtId="10" fontId="11" fillId="0" borderId="15" xfId="0" applyNumberFormat="1" applyFont="1" applyBorder="1" applyAlignment="1">
      <alignment horizontal="right"/>
    </xf>
    <xf numFmtId="0" fontId="11" fillId="0" borderId="0" xfId="0" applyFont="1"/>
    <xf numFmtId="0" fontId="12" fillId="0" borderId="0" xfId="0" applyFont="1" applyAlignment="1">
      <alignment horizontal="center"/>
    </xf>
    <xf numFmtId="0" fontId="12" fillId="0" borderId="0" xfId="0" applyFont="1" applyAlignment="1">
      <alignment horizontal="center" wrapText="1"/>
    </xf>
    <xf numFmtId="0" fontId="11" fillId="0" borderId="0" xfId="0" applyFont="1" applyAlignment="1">
      <alignment horizontal="center"/>
    </xf>
    <xf numFmtId="0" fontId="12" fillId="0" borderId="16" xfId="0" applyFont="1" applyBorder="1"/>
    <xf numFmtId="0" fontId="12" fillId="0" borderId="17" xfId="0" applyFont="1" applyBorder="1" applyAlignment="1">
      <alignment horizontal="center"/>
    </xf>
    <xf numFmtId="44" fontId="12" fillId="0" borderId="17" xfId="2" applyFont="1" applyBorder="1"/>
    <xf numFmtId="0" fontId="12" fillId="0" borderId="17" xfId="0" applyFont="1" applyBorder="1" applyAlignment="1">
      <alignment horizontal="right"/>
    </xf>
    <xf numFmtId="167" fontId="12" fillId="0" borderId="17" xfId="0" applyNumberFormat="1" applyFont="1" applyBorder="1" applyAlignment="1">
      <alignment horizontal="center"/>
    </xf>
    <xf numFmtId="167" fontId="12" fillId="0" borderId="0" xfId="0" applyNumberFormat="1" applyFont="1" applyAlignment="1">
      <alignment horizontal="center"/>
    </xf>
    <xf numFmtId="165" fontId="12" fillId="0" borderId="17" xfId="1" applyNumberFormat="1" applyFont="1" applyBorder="1" applyAlignment="1">
      <alignment horizontal="right"/>
    </xf>
    <xf numFmtId="43" fontId="12" fillId="0" borderId="17" xfId="1" applyFont="1" applyBorder="1"/>
    <xf numFmtId="10" fontId="12" fillId="0" borderId="17" xfId="0" applyNumberFormat="1" applyFont="1" applyBorder="1"/>
    <xf numFmtId="167" fontId="12" fillId="0" borderId="0" xfId="0" applyNumberFormat="1" applyFont="1" applyAlignment="1">
      <alignment horizontal="right"/>
    </xf>
    <xf numFmtId="0" fontId="12" fillId="0" borderId="0" xfId="0" applyFont="1" applyAlignment="1">
      <alignment horizontal="left"/>
    </xf>
    <xf numFmtId="8" fontId="12" fillId="0" borderId="0" xfId="0" applyNumberFormat="1" applyFont="1"/>
    <xf numFmtId="3" fontId="12" fillId="0" borderId="0" xfId="0" applyNumberFormat="1" applyFont="1" applyAlignment="1">
      <alignment horizontal="left"/>
    </xf>
    <xf numFmtId="0" fontId="12" fillId="0" borderId="0" xfId="0" applyFont="1" applyAlignment="1">
      <alignment horizontal="right"/>
    </xf>
    <xf numFmtId="44" fontId="15" fillId="0" borderId="17" xfId="2" applyFont="1" applyBorder="1"/>
    <xf numFmtId="43" fontId="15" fillId="0" borderId="17" xfId="1" applyFont="1" applyBorder="1"/>
    <xf numFmtId="10" fontId="15" fillId="0" borderId="17" xfId="0" applyNumberFormat="1" applyFont="1" applyBorder="1"/>
    <xf numFmtId="0" fontId="15" fillId="0" borderId="0" xfId="0" applyFont="1" applyAlignment="1">
      <alignment horizontal="center"/>
    </xf>
    <xf numFmtId="0" fontId="15" fillId="0" borderId="0" xfId="0" applyFont="1"/>
    <xf numFmtId="0" fontId="15" fillId="0" borderId="0" xfId="0" applyFont="1" applyAlignment="1">
      <alignment horizontal="center" wrapText="1"/>
    </xf>
    <xf numFmtId="10" fontId="16" fillId="0" borderId="12" xfId="3" applyNumberFormat="1" applyFont="1" applyBorder="1" applyAlignment="1">
      <alignment horizontal="right"/>
    </xf>
    <xf numFmtId="44" fontId="18" fillId="0" borderId="17" xfId="2" applyFont="1" applyBorder="1"/>
    <xf numFmtId="43" fontId="18" fillId="0" borderId="17" xfId="1" applyFont="1" applyBorder="1"/>
    <xf numFmtId="10" fontId="18" fillId="0" borderId="17" xfId="0" applyNumberFormat="1" applyFont="1" applyBorder="1"/>
    <xf numFmtId="0" fontId="12" fillId="0" borderId="0" xfId="2" applyNumberFormat="1" applyFont="1" applyBorder="1" applyAlignment="1">
      <alignment horizontal="right"/>
    </xf>
    <xf numFmtId="165" fontId="12" fillId="0" borderId="4" xfId="1" applyNumberFormat="1" applyFont="1" applyBorder="1" applyAlignment="1">
      <alignment horizontal="center" wrapText="1"/>
    </xf>
    <xf numFmtId="37" fontId="12" fillId="0" borderId="0" xfId="2" applyNumberFormat="1" applyFont="1" applyBorder="1" applyAlignment="1">
      <alignment horizontal="right"/>
    </xf>
    <xf numFmtId="37" fontId="16" fillId="0" borderId="0" xfId="2" applyNumberFormat="1" applyFont="1" applyBorder="1" applyAlignment="1">
      <alignment horizontal="right"/>
    </xf>
    <xf numFmtId="165" fontId="12" fillId="0" borderId="8" xfId="1" applyNumberFormat="1" applyFont="1" applyBorder="1" applyAlignment="1">
      <alignment horizontal="center" wrapText="1"/>
    </xf>
    <xf numFmtId="0" fontId="1" fillId="0" borderId="0" xfId="0" applyFont="1" applyAlignment="1">
      <alignment horizontal="center"/>
    </xf>
    <xf numFmtId="0" fontId="3" fillId="0" borderId="0" xfId="0" applyFont="1" applyAlignment="1">
      <alignment horizontal="center"/>
    </xf>
    <xf numFmtId="0" fontId="3" fillId="0" borderId="0" xfId="0" applyFont="1" applyAlignment="1">
      <alignment horizontal="right"/>
    </xf>
    <xf numFmtId="0" fontId="1" fillId="0" borderId="0" xfId="0" applyFont="1" applyAlignment="1">
      <alignment horizontal="left"/>
    </xf>
    <xf numFmtId="2" fontId="11" fillId="0" borderId="13" xfId="0" applyNumberFormat="1" applyFont="1" applyBorder="1" applyAlignment="1">
      <alignment horizontal="center" vertical="center"/>
    </xf>
    <xf numFmtId="2" fontId="11" fillId="0" borderId="14" xfId="0" applyNumberFormat="1" applyFont="1" applyBorder="1" applyAlignment="1">
      <alignment horizontal="center" vertical="center"/>
    </xf>
    <xf numFmtId="0" fontId="17" fillId="0" borderId="16" xfId="0" applyFont="1" applyBorder="1" applyAlignment="1">
      <alignment horizontal="right"/>
    </xf>
    <xf numFmtId="0" fontId="17" fillId="0" borderId="18" xfId="0" applyFont="1" applyBorder="1" applyAlignment="1">
      <alignment horizontal="right"/>
    </xf>
    <xf numFmtId="0" fontId="17" fillId="0" borderId="19" xfId="0" applyFont="1" applyBorder="1" applyAlignment="1">
      <alignment horizontal="right"/>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11" fillId="0" borderId="13" xfId="0" applyFont="1" applyBorder="1" applyAlignment="1">
      <alignment horizontal="center" vertical="center"/>
    </xf>
    <xf numFmtId="0" fontId="18" fillId="0" borderId="16" xfId="0" applyFont="1" applyBorder="1" applyAlignment="1">
      <alignment horizontal="right"/>
    </xf>
    <xf numFmtId="0" fontId="18" fillId="0" borderId="18" xfId="0" applyFont="1" applyBorder="1" applyAlignment="1">
      <alignment horizontal="right"/>
    </xf>
    <xf numFmtId="0" fontId="18" fillId="0" borderId="19" xfId="0" applyFont="1" applyBorder="1" applyAlignment="1">
      <alignment horizontal="right"/>
    </xf>
    <xf numFmtId="0" fontId="12" fillId="0" borderId="16" xfId="0" applyFont="1" applyBorder="1" applyAlignment="1">
      <alignment horizontal="right"/>
    </xf>
    <xf numFmtId="0" fontId="12" fillId="0" borderId="18" xfId="0" applyFont="1" applyBorder="1" applyAlignment="1">
      <alignment horizontal="right"/>
    </xf>
    <xf numFmtId="0" fontId="12" fillId="0" borderId="19" xfId="0" applyFont="1" applyBorder="1" applyAlignment="1">
      <alignment horizontal="right"/>
    </xf>
    <xf numFmtId="0" fontId="11" fillId="0" borderId="16"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0" xfId="0" applyFont="1" applyAlignment="1">
      <alignment horizontal="center" vertical="center" wrapText="1"/>
    </xf>
    <xf numFmtId="0" fontId="12" fillId="0" borderId="24"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27" xfId="0" applyFont="1" applyBorder="1" applyAlignment="1">
      <alignment horizontal="center" vertical="center" wrapText="1"/>
    </xf>
    <xf numFmtId="0" fontId="17" fillId="0" borderId="16" xfId="0" applyFont="1" applyBorder="1" applyAlignment="1">
      <alignment horizontal="center"/>
    </xf>
    <xf numFmtId="0" fontId="18" fillId="0" borderId="18" xfId="0" applyFont="1" applyBorder="1" applyAlignment="1">
      <alignment horizontal="center"/>
    </xf>
    <xf numFmtId="0" fontId="18" fillId="0" borderId="19" xfId="0" applyFont="1" applyBorder="1" applyAlignment="1">
      <alignment horizontal="center"/>
    </xf>
    <xf numFmtId="0" fontId="11" fillId="0" borderId="28" xfId="0" applyFont="1" applyBorder="1" applyAlignment="1">
      <alignment horizontal="center"/>
    </xf>
    <xf numFmtId="0" fontId="11" fillId="0" borderId="29" xfId="0" applyFont="1" applyBorder="1" applyAlignment="1">
      <alignment horizontal="center"/>
    </xf>
    <xf numFmtId="0" fontId="11" fillId="0" borderId="30" xfId="0" applyFont="1" applyBorder="1" applyAlignment="1">
      <alignment horizontal="center"/>
    </xf>
    <xf numFmtId="0" fontId="12" fillId="0" borderId="16" xfId="0" applyFont="1" applyBorder="1" applyAlignment="1">
      <alignment horizontal="center"/>
    </xf>
    <xf numFmtId="167" fontId="12" fillId="0" borderId="18" xfId="0" applyNumberFormat="1" applyFont="1" applyBorder="1" applyAlignment="1">
      <alignment horizontal="center"/>
    </xf>
    <xf numFmtId="167" fontId="12" fillId="0" borderId="19" xfId="0" applyNumberFormat="1" applyFont="1" applyBorder="1" applyAlignment="1">
      <alignment horizontal="center"/>
    </xf>
    <xf numFmtId="167" fontId="12" fillId="0" borderId="16" xfId="0" applyNumberFormat="1" applyFont="1" applyBorder="1" applyAlignment="1">
      <alignment horizontal="center"/>
    </xf>
    <xf numFmtId="0" fontId="14" fillId="0" borderId="16" xfId="0" applyFont="1" applyBorder="1" applyAlignment="1">
      <alignment horizontal="right"/>
    </xf>
    <xf numFmtId="0" fontId="14" fillId="0" borderId="18" xfId="0" applyFont="1" applyBorder="1" applyAlignment="1">
      <alignment horizontal="right"/>
    </xf>
    <xf numFmtId="0" fontId="14" fillId="0" borderId="19" xfId="0" applyFont="1" applyBorder="1" applyAlignment="1">
      <alignment horizontal="right"/>
    </xf>
    <xf numFmtId="0" fontId="14" fillId="0" borderId="16"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16" xfId="0" applyFont="1" applyBorder="1" applyAlignment="1">
      <alignment horizontal="right"/>
    </xf>
    <xf numFmtId="0" fontId="15" fillId="0" borderId="18" xfId="0" applyFont="1" applyBorder="1" applyAlignment="1">
      <alignment horizontal="right"/>
    </xf>
    <xf numFmtId="0" fontId="15" fillId="0" borderId="19" xfId="0" applyFont="1" applyBorder="1" applyAlignment="1">
      <alignment horizontal="right"/>
    </xf>
    <xf numFmtId="3" fontId="12" fillId="0" borderId="2" xfId="0" applyNumberFormat="1" applyFont="1" applyBorder="1" applyAlignment="1">
      <alignment horizontal="left"/>
    </xf>
    <xf numFmtId="3" fontId="12" fillId="0" borderId="0" xfId="0" applyNumberFormat="1" applyFont="1" applyAlignment="1">
      <alignment horizontal="left"/>
    </xf>
    <xf numFmtId="3" fontId="12" fillId="0" borderId="12" xfId="0" applyNumberFormat="1" applyFont="1" applyBorder="1" applyAlignment="1">
      <alignment horizontal="left"/>
    </xf>
    <xf numFmtId="3" fontId="12" fillId="0" borderId="7" xfId="0" applyNumberFormat="1" applyFont="1" applyBorder="1" applyAlignment="1">
      <alignment horizontal="left"/>
    </xf>
    <xf numFmtId="3" fontId="12" fillId="0" borderId="8" xfId="0" applyNumberFormat="1" applyFont="1" applyBorder="1" applyAlignment="1">
      <alignment horizontal="left"/>
    </xf>
    <xf numFmtId="3" fontId="12" fillId="0" borderId="10" xfId="0" applyNumberFormat="1" applyFont="1" applyBorder="1" applyAlignment="1">
      <alignment horizontal="left"/>
    </xf>
    <xf numFmtId="0" fontId="11" fillId="0" borderId="11" xfId="0" applyFont="1" applyBorder="1" applyAlignment="1">
      <alignment horizontal="center"/>
    </xf>
    <xf numFmtId="3" fontId="12" fillId="0" borderId="6" xfId="0" applyNumberFormat="1" applyFont="1" applyBorder="1" applyAlignment="1">
      <alignment horizontal="left"/>
    </xf>
    <xf numFmtId="3" fontId="12" fillId="0" borderId="4" xfId="0" applyNumberFormat="1" applyFont="1" applyBorder="1" applyAlignment="1">
      <alignment horizontal="left"/>
    </xf>
    <xf numFmtId="3" fontId="12" fillId="0" borderId="5" xfId="0" applyNumberFormat="1" applyFont="1" applyBorder="1" applyAlignment="1">
      <alignment horizontal="left"/>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0</xdr:row>
      <xdr:rowOff>133350</xdr:rowOff>
    </xdr:from>
    <xdr:to>
      <xdr:col>3</xdr:col>
      <xdr:colOff>130175</xdr:colOff>
      <xdr:row>2</xdr:row>
      <xdr:rowOff>209550</xdr:rowOff>
    </xdr:to>
    <xdr:pic>
      <xdr:nvPicPr>
        <xdr:cNvPr id="2101" name="Picture 1">
          <a:extLst>
            <a:ext uri="{FF2B5EF4-FFF2-40B4-BE49-F238E27FC236}">
              <a16:creationId xmlns:a16="http://schemas.microsoft.com/office/drawing/2014/main" id="{00000000-0008-0000-0000-000035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1333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114300</xdr:colOff>
      <xdr:row>1</xdr:row>
      <xdr:rowOff>19050</xdr:rowOff>
    </xdr:from>
    <xdr:to>
      <xdr:col>3</xdr:col>
      <xdr:colOff>92075</xdr:colOff>
      <xdr:row>3</xdr:row>
      <xdr:rowOff>114300</xdr:rowOff>
    </xdr:to>
    <xdr:pic>
      <xdr:nvPicPr>
        <xdr:cNvPr id="3117" name="Picture 1">
          <a:extLst>
            <a:ext uri="{FF2B5EF4-FFF2-40B4-BE49-F238E27FC236}">
              <a16:creationId xmlns:a16="http://schemas.microsoft.com/office/drawing/2014/main" id="{00000000-0008-0000-0100-00002D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5" y="276225"/>
          <a:ext cx="16478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142875</xdr:colOff>
      <xdr:row>1</xdr:row>
      <xdr:rowOff>38100</xdr:rowOff>
    </xdr:from>
    <xdr:to>
      <xdr:col>3</xdr:col>
      <xdr:colOff>19050</xdr:colOff>
      <xdr:row>3</xdr:row>
      <xdr:rowOff>95250</xdr:rowOff>
    </xdr:to>
    <xdr:pic>
      <xdr:nvPicPr>
        <xdr:cNvPr id="4141" name="Picture 1">
          <a:extLst>
            <a:ext uri="{FF2B5EF4-FFF2-40B4-BE49-F238E27FC236}">
              <a16:creationId xmlns:a16="http://schemas.microsoft.com/office/drawing/2014/main" id="{00000000-0008-0000-0200-00002D1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295275"/>
          <a:ext cx="155257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0"/>
  <sheetViews>
    <sheetView tabSelected="1" workbookViewId="0">
      <selection activeCell="P14" sqref="P14"/>
    </sheetView>
  </sheetViews>
  <sheetFormatPr defaultColWidth="9.140625" defaultRowHeight="10.15" customHeight="1" x14ac:dyDescent="0.2"/>
  <cols>
    <col min="1" max="1" width="5" style="17" customWidth="1"/>
    <col min="2" max="2" width="14.7109375" style="17"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08" t="s">
        <v>51</v>
      </c>
      <c r="C1" s="108"/>
      <c r="D1" s="108"/>
      <c r="E1" s="108"/>
      <c r="F1" s="108"/>
      <c r="G1" s="108"/>
      <c r="H1" s="108"/>
      <c r="I1" s="108"/>
      <c r="J1" s="108"/>
      <c r="K1" s="108"/>
      <c r="L1" s="108"/>
      <c r="M1" s="108"/>
      <c r="N1" s="108"/>
    </row>
    <row r="2" spans="2:26" s="1" customFormat="1" ht="20.25" customHeight="1" x14ac:dyDescent="0.25">
      <c r="B2" s="109" t="s">
        <v>43</v>
      </c>
      <c r="C2" s="109"/>
      <c r="D2" s="109"/>
      <c r="E2" s="109"/>
      <c r="F2" s="109"/>
      <c r="G2" s="109"/>
      <c r="H2" s="109"/>
      <c r="I2" s="109"/>
      <c r="J2" s="109"/>
      <c r="K2" s="109"/>
      <c r="L2" s="109"/>
      <c r="M2" s="109"/>
      <c r="N2" s="109"/>
      <c r="O2" s="3"/>
      <c r="P2" s="3"/>
      <c r="Q2" s="4"/>
      <c r="R2" s="3"/>
      <c r="S2" s="3"/>
      <c r="T2" s="3"/>
      <c r="U2" s="3"/>
      <c r="V2" s="3"/>
      <c r="W2" s="3"/>
      <c r="X2" s="3"/>
      <c r="Y2" s="3"/>
      <c r="Z2" s="3"/>
    </row>
    <row r="3" spans="2:26" s="1" customFormat="1" ht="20.25" customHeight="1" x14ac:dyDescent="0.25">
      <c r="G3" s="5" t="s">
        <v>0</v>
      </c>
      <c r="H3" s="6">
        <v>46023</v>
      </c>
      <c r="I3" s="2" t="s">
        <v>1</v>
      </c>
      <c r="J3" s="6">
        <v>46387</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110" t="s">
        <v>2</v>
      </c>
      <c r="C5" s="110"/>
      <c r="D5" s="111" t="s">
        <v>52</v>
      </c>
      <c r="E5" s="111"/>
      <c r="F5" s="111"/>
      <c r="G5" s="111"/>
      <c r="H5" s="15"/>
      <c r="I5" s="16"/>
      <c r="J5" s="16"/>
      <c r="K5" s="110" t="s">
        <v>3</v>
      </c>
      <c r="L5" s="110"/>
      <c r="M5" s="111" t="s">
        <v>40</v>
      </c>
      <c r="N5" s="111"/>
    </row>
    <row r="6" spans="2:26" s="1" customFormat="1" ht="20.25" customHeight="1" x14ac:dyDescent="0.25">
      <c r="B6" s="110" t="s">
        <v>4</v>
      </c>
      <c r="C6" s="110"/>
      <c r="D6" s="111" t="s">
        <v>44</v>
      </c>
      <c r="E6" s="111"/>
      <c r="F6" s="111"/>
      <c r="G6" s="111"/>
      <c r="H6" s="15"/>
      <c r="I6" s="12"/>
      <c r="J6" s="12"/>
      <c r="K6" s="110" t="s">
        <v>5</v>
      </c>
      <c r="L6" s="110"/>
      <c r="M6" s="111" t="s">
        <v>61</v>
      </c>
      <c r="N6" s="111"/>
    </row>
    <row r="7" spans="2:26" ht="21" customHeight="1" thickBot="1" x14ac:dyDescent="0.25">
      <c r="C7" s="18"/>
      <c r="D7" s="18"/>
      <c r="E7" s="18"/>
    </row>
    <row r="8" spans="2:26" s="22" customFormat="1" ht="15.75" customHeight="1" thickBot="1" x14ac:dyDescent="0.25">
      <c r="B8" s="112" t="s">
        <v>6</v>
      </c>
      <c r="C8" s="113"/>
      <c r="D8" s="113"/>
      <c r="E8" s="113"/>
      <c r="F8" s="113"/>
      <c r="G8" s="113"/>
      <c r="H8" s="23" t="s">
        <v>7</v>
      </c>
      <c r="I8" s="117" t="s">
        <v>8</v>
      </c>
      <c r="J8" s="117"/>
      <c r="K8" s="117"/>
      <c r="L8" s="118"/>
      <c r="M8" s="119" t="s">
        <v>9</v>
      </c>
      <c r="N8" s="118"/>
    </row>
    <row r="9" spans="2:26" s="22" customFormat="1" ht="15.75" customHeight="1" x14ac:dyDescent="0.25">
      <c r="B9" s="24"/>
      <c r="C9" s="25"/>
      <c r="D9" s="25"/>
      <c r="E9" s="25"/>
      <c r="F9" s="25"/>
      <c r="G9" s="26"/>
      <c r="H9" s="27"/>
      <c r="I9" s="28"/>
      <c r="J9" s="28"/>
      <c r="K9" s="28"/>
      <c r="L9" s="29"/>
      <c r="M9" s="30" t="s">
        <v>10</v>
      </c>
      <c r="N9" s="31" t="s">
        <v>11</v>
      </c>
    </row>
    <row r="10" spans="2:26" s="22" customFormat="1" ht="15.75" customHeight="1" thickBot="1" x14ac:dyDescent="0.3">
      <c r="B10" s="32" t="s">
        <v>12</v>
      </c>
      <c r="C10" s="33" t="s">
        <v>13</v>
      </c>
      <c r="D10" s="34" t="s">
        <v>38</v>
      </c>
      <c r="E10" s="33" t="s">
        <v>14</v>
      </c>
      <c r="F10" s="33" t="s">
        <v>15</v>
      </c>
      <c r="G10" s="33" t="s">
        <v>16</v>
      </c>
      <c r="H10" s="35" t="s">
        <v>17</v>
      </c>
      <c r="I10" s="36" t="s">
        <v>18</v>
      </c>
      <c r="J10" s="36" t="s">
        <v>19</v>
      </c>
      <c r="K10" s="36" t="s">
        <v>20</v>
      </c>
      <c r="L10" s="37" t="s">
        <v>21</v>
      </c>
      <c r="M10" s="38" t="s">
        <v>22</v>
      </c>
      <c r="N10" s="39" t="s">
        <v>23</v>
      </c>
    </row>
    <row r="11" spans="2:26" s="22" customFormat="1" ht="15.75" customHeight="1" x14ac:dyDescent="0.2">
      <c r="B11" s="40"/>
      <c r="C11" s="41"/>
      <c r="D11" s="41"/>
      <c r="E11" s="41"/>
      <c r="F11" s="41"/>
      <c r="G11" s="42"/>
      <c r="H11" s="43"/>
      <c r="I11" s="44"/>
      <c r="J11" s="45"/>
      <c r="K11" s="46"/>
      <c r="L11" s="104"/>
      <c r="M11" s="48"/>
      <c r="N11" s="49"/>
      <c r="R11" s="50"/>
    </row>
    <row r="12" spans="2:26" s="22" customFormat="1" ht="15.75" customHeight="1" x14ac:dyDescent="0.2">
      <c r="B12" s="51">
        <v>46023</v>
      </c>
      <c r="C12" s="52">
        <f>(STANDARD!C12)+(PREMIUM!C12)</f>
        <v>381</v>
      </c>
      <c r="D12" s="52">
        <f>(STANDARD!D12)+(PREMIUM!D12)</f>
        <v>120</v>
      </c>
      <c r="E12" s="52">
        <f>(STANDARD!E12)+(PREMIUM!E12)</f>
        <v>89</v>
      </c>
      <c r="F12" s="52">
        <f>(STANDARD!F12)+(PREMIUM!F12)</f>
        <v>130</v>
      </c>
      <c r="G12" s="52">
        <f>(STANDARD!G12)+(PREMIUM!G12)</f>
        <v>720</v>
      </c>
      <c r="H12" s="54">
        <f>(STANDARD!H12)+(PREMIUM!H12)</f>
        <v>3060</v>
      </c>
      <c r="I12" s="55">
        <f>(STANDARD!I12)+(PREMIUM!I12)</f>
        <v>36492.729999999996</v>
      </c>
      <c r="J12" s="21">
        <v>0</v>
      </c>
      <c r="K12" s="21">
        <v>0</v>
      </c>
      <c r="L12" s="105">
        <v>0</v>
      </c>
      <c r="M12" s="55">
        <f>(STANDARD!M12)+(PREMIUM!M12)</f>
        <v>10417.84</v>
      </c>
      <c r="N12" s="56">
        <f>K12/I12</f>
        <v>0</v>
      </c>
      <c r="Q12" s="50"/>
      <c r="R12" s="50"/>
    </row>
    <row r="13" spans="2:26" s="22" customFormat="1" ht="15.75" customHeight="1" x14ac:dyDescent="0.2">
      <c r="B13" s="51">
        <v>46054</v>
      </c>
      <c r="C13" s="52">
        <f>(STANDARD!C13)+(PREMIUM!C13)</f>
        <v>378</v>
      </c>
      <c r="D13" s="52">
        <f>(STANDARD!D13)+(PREMIUM!D13)</f>
        <v>119</v>
      </c>
      <c r="E13" s="52">
        <f>(STANDARD!E13)+(PREMIUM!E13)</f>
        <v>88</v>
      </c>
      <c r="F13" s="52">
        <f>(STANDARD!F13)+(PREMIUM!F13)</f>
        <v>130</v>
      </c>
      <c r="G13" s="52">
        <f>(STANDARD!G13)+(PREMIUM!G13)</f>
        <v>715</v>
      </c>
      <c r="H13" s="54">
        <f>(STANDARD!H13)+(PREMIUM!H13)</f>
        <v>3038.75</v>
      </c>
      <c r="I13" s="55">
        <f>(STANDARD!I13)+(PREMIUM!I13)</f>
        <v>36216.42</v>
      </c>
      <c r="J13" s="21">
        <f>(STANDARD!J13)+(PREMIUM!J13)</f>
        <v>22045.65</v>
      </c>
      <c r="K13" s="21">
        <f>(STANDARD!K13)+(PREMIUM!K13)</f>
        <v>10786.16</v>
      </c>
      <c r="L13" s="103">
        <f>(STANDARD!L13)+(PREMIUM!L13)</f>
        <v>47</v>
      </c>
      <c r="M13" s="55">
        <f>(STANDARD!M13)+(PREMIUM!M13)</f>
        <v>25430.260000000002</v>
      </c>
      <c r="N13" s="56">
        <f t="shared" ref="N13:N17" si="0">K13/I13</f>
        <v>0.29782513014814826</v>
      </c>
      <c r="Q13" s="57"/>
      <c r="R13" s="50"/>
    </row>
    <row r="14" spans="2:26" s="22" customFormat="1" ht="15.75" customHeight="1" x14ac:dyDescent="0.2">
      <c r="B14" s="51">
        <v>46082</v>
      </c>
      <c r="C14" s="52">
        <f>(STANDARD!C14)+(PREMIUM!C14)</f>
        <v>380</v>
      </c>
      <c r="D14" s="52">
        <f>(STANDARD!D14)+(PREMIUM!D14)</f>
        <v>120</v>
      </c>
      <c r="E14" s="52">
        <f>(STANDARD!E14)+(PREMIUM!E14)</f>
        <v>88</v>
      </c>
      <c r="F14" s="52">
        <f>(STANDARD!F14)+(PREMIUM!F14)</f>
        <v>130</v>
      </c>
      <c r="G14" s="52">
        <f>(STANDARD!G14)+(PREMIUM!G14)</f>
        <v>718</v>
      </c>
      <c r="H14" s="54">
        <f>(STANDARD!H14)+(PREMIUM!H14)</f>
        <v>3051.5</v>
      </c>
      <c r="I14" s="55">
        <f>(STANDARD!I14)+(PREMIUM!I14)</f>
        <v>36329.450000000004</v>
      </c>
      <c r="J14" s="21">
        <f>(STANDARD!J14)+(PREMIUM!J14)</f>
        <v>194064.82</v>
      </c>
      <c r="K14" s="21">
        <f>(STANDARD!K14)+(PREMIUM!K14)</f>
        <v>97575.14</v>
      </c>
      <c r="L14" s="103">
        <f>(STANDARD!L14)+(PREMIUM!L14)</f>
        <v>402</v>
      </c>
      <c r="M14" s="55">
        <f>(STANDARD!M14)+(PREMIUM!M14)</f>
        <v>-61245.689999999995</v>
      </c>
      <c r="N14" s="56">
        <f t="shared" si="0"/>
        <v>2.6858413766241984</v>
      </c>
      <c r="Q14" s="57"/>
      <c r="R14" s="50"/>
    </row>
    <row r="15" spans="2:26" s="22" customFormat="1" ht="15.75" customHeight="1" x14ac:dyDescent="0.2">
      <c r="B15" s="51">
        <v>46113</v>
      </c>
      <c r="C15" s="52">
        <f>(STANDARD!C15)+(PREMIUM!C15)</f>
        <v>351</v>
      </c>
      <c r="D15" s="52">
        <f>(STANDARD!D15)+(PREMIUM!D15)</f>
        <v>113</v>
      </c>
      <c r="E15" s="52">
        <f>(STANDARD!E15)+(PREMIUM!E15)</f>
        <v>77</v>
      </c>
      <c r="F15" s="52">
        <f>(STANDARD!F15)+(PREMIUM!F15)</f>
        <v>123</v>
      </c>
      <c r="G15" s="52">
        <f>(STANDARD!G15)+(PREMIUM!G15)</f>
        <v>664</v>
      </c>
      <c r="H15" s="54">
        <f>(STANDARD!H15)+(PREMIUM!H15)</f>
        <v>2822</v>
      </c>
      <c r="I15" s="55">
        <f>(STANDARD!I15)+(PREMIUM!I15)</f>
        <v>33679.72</v>
      </c>
      <c r="J15" s="21">
        <f>(STANDARD!J15)+(PREMIUM!J15)</f>
        <v>222682.5</v>
      </c>
      <c r="K15" s="21">
        <f>(STANDARD!K15)+(PREMIUM!K15)</f>
        <v>77229.38</v>
      </c>
      <c r="L15" s="103">
        <f>(STANDARD!L15)+(PREMIUM!L15)</f>
        <v>382</v>
      </c>
      <c r="M15" s="55">
        <f>(STANDARD!M15)+(PREMIUM!M15)</f>
        <v>-43549.66</v>
      </c>
      <c r="N15" s="56">
        <f t="shared" si="0"/>
        <v>2.2930529113662468</v>
      </c>
      <c r="Q15" s="57"/>
      <c r="R15" s="50"/>
    </row>
    <row r="16" spans="2:26" s="22" customFormat="1" ht="15.75" customHeight="1" x14ac:dyDescent="0.2">
      <c r="B16" s="51">
        <v>46143</v>
      </c>
      <c r="C16" s="52">
        <f>(STANDARD!C16)+(PREMIUM!C16)</f>
        <v>339</v>
      </c>
      <c r="D16" s="52">
        <f>(STANDARD!D16)+(PREMIUM!D16)</f>
        <v>111</v>
      </c>
      <c r="E16" s="52">
        <f>(STANDARD!E16)+(PREMIUM!E16)</f>
        <v>74</v>
      </c>
      <c r="F16" s="52">
        <f>(STANDARD!F16)+(PREMIUM!F16)</f>
        <v>122</v>
      </c>
      <c r="G16" s="52">
        <f>(STANDARD!G16)+(PREMIUM!G16)</f>
        <v>646</v>
      </c>
      <c r="H16" s="54">
        <f>(STANDARD!H16)+(PREMIUM!H16)</f>
        <v>2745.5</v>
      </c>
      <c r="I16" s="55">
        <f>(STANDARD!I16)+(PREMIUM!I16)</f>
        <v>33001.089999999997</v>
      </c>
      <c r="J16" s="21">
        <f>(STANDARD!J16)+(PREMIUM!J16)</f>
        <v>73395.13</v>
      </c>
      <c r="K16" s="21">
        <f>(STANDARD!K16)+(PREMIUM!K16)</f>
        <v>38466.33</v>
      </c>
      <c r="L16" s="105">
        <v>173</v>
      </c>
      <c r="M16" s="55">
        <f>(STANDARD!M16)+(PREMIUM!M16)</f>
        <v>-5465.24</v>
      </c>
      <c r="N16" s="56">
        <f t="shared" si="0"/>
        <v>1.1656078632554261</v>
      </c>
      <c r="Q16" s="57"/>
      <c r="R16" s="50"/>
    </row>
    <row r="17" spans="2:18" s="22" customFormat="1" ht="15.75" customHeight="1" x14ac:dyDescent="0.2">
      <c r="B17" s="51">
        <v>46174</v>
      </c>
      <c r="C17" s="52">
        <f>(STANDARD!C17)+(PREMIUM!C17)</f>
        <v>329</v>
      </c>
      <c r="D17" s="52">
        <f>(STANDARD!D17)+(PREMIUM!D17)</f>
        <v>109</v>
      </c>
      <c r="E17" s="52">
        <f>(STANDARD!E17)+(PREMIUM!E17)</f>
        <v>73</v>
      </c>
      <c r="F17" s="52">
        <f>(STANDARD!F17)+(PREMIUM!F17)</f>
        <v>118</v>
      </c>
      <c r="G17" s="52">
        <f>(STANDARD!G17)+(PREMIUM!G17)</f>
        <v>629</v>
      </c>
      <c r="H17" s="54">
        <f>(STANDARD!H17)+(PREMIUM!H17)</f>
        <v>2673.25</v>
      </c>
      <c r="I17" s="55">
        <f>(STANDARD!I17)+(PREMIUM!I17)</f>
        <v>32118.320000000003</v>
      </c>
      <c r="J17" s="21">
        <f>(STANDARD!J17)+(PREMIUM!J17)</f>
        <v>53233</v>
      </c>
      <c r="K17" s="21">
        <f>(STANDARD!K17)+(PREMIUM!K17)</f>
        <v>24456.06</v>
      </c>
      <c r="L17" s="105">
        <v>98</v>
      </c>
      <c r="M17" s="55">
        <f>(STANDARD!M17)+(PREMIUM!M17)</f>
        <v>7662.260000000002</v>
      </c>
      <c r="N17" s="56">
        <f t="shared" si="0"/>
        <v>0.76143646367555962</v>
      </c>
      <c r="Q17" s="57"/>
      <c r="R17" s="50"/>
    </row>
    <row r="18" spans="2:18" s="22" customFormat="1" ht="15.75" customHeight="1" x14ac:dyDescent="0.2">
      <c r="B18" s="51">
        <v>46204</v>
      </c>
      <c r="C18" s="52">
        <f>(STANDARD!C18)+(PREMIUM!C18)</f>
        <v>0</v>
      </c>
      <c r="D18" s="52">
        <f>(STANDARD!D18)+(PREMIUM!D18)</f>
        <v>0</v>
      </c>
      <c r="E18" s="52">
        <f>(STANDARD!E18)+(PREMIUM!E18)</f>
        <v>0</v>
      </c>
      <c r="F18" s="52">
        <f>(STANDARD!F18)+(PREMIUM!F18)</f>
        <v>0</v>
      </c>
      <c r="G18" s="52">
        <f>(STANDARD!G18)+(PREMIUM!G18)</f>
        <v>0</v>
      </c>
      <c r="H18" s="54">
        <f>(STANDARD!H18)+(PREMIUM!H18)</f>
        <v>0</v>
      </c>
      <c r="I18" s="55">
        <f>(STANDARD!I18)+(PREMIUM!I18)</f>
        <v>0</v>
      </c>
      <c r="J18" s="21">
        <f>(STANDARD!J18)+(PREMIUM!J18)</f>
        <v>0</v>
      </c>
      <c r="K18" s="21">
        <f>(STANDARD!K18)+(PREMIUM!K18)</f>
        <v>0</v>
      </c>
      <c r="L18" s="105"/>
      <c r="M18" s="55">
        <f>(STANDARD!M18)+(PREMIUM!M18)</f>
        <v>0</v>
      </c>
      <c r="N18" s="56"/>
      <c r="Q18" s="57"/>
      <c r="R18" s="50"/>
    </row>
    <row r="19" spans="2:18" s="22" customFormat="1" ht="15.75" customHeight="1" x14ac:dyDescent="0.2">
      <c r="B19" s="51">
        <v>46235</v>
      </c>
      <c r="C19" s="52">
        <f>(STANDARD!C19)+(PREMIUM!C19)</f>
        <v>0</v>
      </c>
      <c r="D19" s="52">
        <f>(STANDARD!D19)+(PREMIUM!D19)</f>
        <v>0</v>
      </c>
      <c r="E19" s="52">
        <f>(STANDARD!E19)+(PREMIUM!E19)</f>
        <v>0</v>
      </c>
      <c r="F19" s="52">
        <f>(STANDARD!F19)+(PREMIUM!F19)</f>
        <v>0</v>
      </c>
      <c r="G19" s="52">
        <f>(STANDARD!G19)+(PREMIUM!G19)</f>
        <v>0</v>
      </c>
      <c r="H19" s="54">
        <f>(STANDARD!H19)+(PREMIUM!H19)</f>
        <v>0</v>
      </c>
      <c r="I19" s="55">
        <f>(STANDARD!I19)+(PREMIUM!I19)</f>
        <v>0</v>
      </c>
      <c r="J19" s="21">
        <f>(STANDARD!J19)+(PREMIUM!J19)</f>
        <v>0</v>
      </c>
      <c r="K19" s="21">
        <f>(STANDARD!K19)+(PREMIUM!K19)</f>
        <v>0</v>
      </c>
      <c r="L19" s="105"/>
      <c r="M19" s="55">
        <f>(STANDARD!M19)+(PREMIUM!M19)</f>
        <v>0</v>
      </c>
      <c r="N19" s="56"/>
      <c r="Q19" s="57"/>
      <c r="R19" s="50"/>
    </row>
    <row r="20" spans="2:18" s="22" customFormat="1" ht="15.75" customHeight="1" x14ac:dyDescent="0.2">
      <c r="B20" s="51">
        <v>46266</v>
      </c>
      <c r="C20" s="52">
        <f>(STANDARD!C20)+(PREMIUM!C20)</f>
        <v>0</v>
      </c>
      <c r="D20" s="52">
        <f>(STANDARD!D20)+(PREMIUM!D20)</f>
        <v>0</v>
      </c>
      <c r="E20" s="52">
        <f>(STANDARD!E20)+(PREMIUM!E20)</f>
        <v>0</v>
      </c>
      <c r="F20" s="52">
        <f>(STANDARD!F20)+(PREMIUM!F20)</f>
        <v>0</v>
      </c>
      <c r="G20" s="52">
        <f>(STANDARD!G20)+(PREMIUM!G20)</f>
        <v>0</v>
      </c>
      <c r="H20" s="54">
        <f>(STANDARD!H20)+(PREMIUM!H20)</f>
        <v>0</v>
      </c>
      <c r="I20" s="55">
        <f>(STANDARD!I20)+(PREMIUM!I20)</f>
        <v>0</v>
      </c>
      <c r="J20" s="21">
        <f>(STANDARD!J20)+(PREMIUM!J20)</f>
        <v>0</v>
      </c>
      <c r="K20" s="21">
        <f>(STANDARD!K20)+(PREMIUM!K20)</f>
        <v>0</v>
      </c>
      <c r="L20" s="105"/>
      <c r="M20" s="55">
        <f>(STANDARD!M20)+(PREMIUM!M20)</f>
        <v>0</v>
      </c>
      <c r="N20" s="56"/>
      <c r="Q20" s="57"/>
      <c r="R20" s="50"/>
    </row>
    <row r="21" spans="2:18" s="22" customFormat="1" ht="15.75" customHeight="1" x14ac:dyDescent="0.2">
      <c r="B21" s="51">
        <v>46296</v>
      </c>
      <c r="C21" s="52">
        <f>(STANDARD!C21)+(PREMIUM!C21)</f>
        <v>0</v>
      </c>
      <c r="D21" s="52">
        <f>(STANDARD!D21)+(PREMIUM!D21)</f>
        <v>0</v>
      </c>
      <c r="E21" s="52">
        <f>(STANDARD!E21)+(PREMIUM!E21)</f>
        <v>0</v>
      </c>
      <c r="F21" s="52">
        <f>(STANDARD!F21)+(PREMIUM!F21)</f>
        <v>0</v>
      </c>
      <c r="G21" s="52">
        <f>(STANDARD!G21)+(PREMIUM!G21)</f>
        <v>0</v>
      </c>
      <c r="H21" s="54">
        <f>(STANDARD!H21)+(PREMIUM!H21)</f>
        <v>0</v>
      </c>
      <c r="I21" s="55">
        <f>(STANDARD!I21)+(PREMIUM!I21)</f>
        <v>0</v>
      </c>
      <c r="J21" s="21">
        <f>(STANDARD!J21)+(PREMIUM!J21)</f>
        <v>0</v>
      </c>
      <c r="K21" s="21">
        <f>(STANDARD!K21)+(PREMIUM!K21)</f>
        <v>0</v>
      </c>
      <c r="L21" s="106"/>
      <c r="M21" s="55">
        <f>(STANDARD!M21)+(PREMIUM!M21)</f>
        <v>0</v>
      </c>
      <c r="N21" s="99"/>
      <c r="Q21" s="57"/>
      <c r="R21" s="50"/>
    </row>
    <row r="22" spans="2:18" s="22" customFormat="1" ht="15.75" customHeight="1" x14ac:dyDescent="0.2">
      <c r="B22" s="51">
        <v>46327</v>
      </c>
      <c r="C22" s="52">
        <f>(STANDARD!C22)+(PREMIUM!C22)</f>
        <v>0</v>
      </c>
      <c r="D22" s="52">
        <f>(STANDARD!D22)+(PREMIUM!D22)</f>
        <v>0</v>
      </c>
      <c r="E22" s="52">
        <f>(STANDARD!E22)+(PREMIUM!E22)</f>
        <v>0</v>
      </c>
      <c r="F22" s="52">
        <f>(STANDARD!F22)+(PREMIUM!F22)</f>
        <v>0</v>
      </c>
      <c r="G22" s="52">
        <f>(STANDARD!G22)+(PREMIUM!G22)</f>
        <v>0</v>
      </c>
      <c r="H22" s="54">
        <f>(STANDARD!H22)+(PREMIUM!H22)</f>
        <v>0</v>
      </c>
      <c r="I22" s="55">
        <f>(STANDARD!I22)+(PREMIUM!I22)</f>
        <v>0</v>
      </c>
      <c r="J22" s="21">
        <f>(STANDARD!J22)+(PREMIUM!J22)</f>
        <v>0</v>
      </c>
      <c r="K22" s="21">
        <f>(STANDARD!K22)+(PREMIUM!K22)</f>
        <v>0</v>
      </c>
      <c r="L22" s="105"/>
      <c r="M22" s="55">
        <f>(STANDARD!M22)+(PREMIUM!M22)</f>
        <v>0</v>
      </c>
      <c r="N22" s="56"/>
      <c r="Q22" s="57"/>
      <c r="R22" s="50"/>
    </row>
    <row r="23" spans="2:18" s="22" customFormat="1" ht="15.75" customHeight="1" x14ac:dyDescent="0.2">
      <c r="B23" s="51">
        <v>46357</v>
      </c>
      <c r="C23" s="52">
        <f>(STANDARD!C23)+(PREMIUM!C23)</f>
        <v>0</v>
      </c>
      <c r="D23" s="52">
        <f>(STANDARD!D23)+(PREMIUM!D23)</f>
        <v>0</v>
      </c>
      <c r="E23" s="52">
        <f>(STANDARD!E23)+(PREMIUM!E23)</f>
        <v>0</v>
      </c>
      <c r="F23" s="52">
        <f>(STANDARD!F23)+(PREMIUM!F23)</f>
        <v>0</v>
      </c>
      <c r="G23" s="52">
        <f>(STANDARD!G23)+(PREMIUM!G23)</f>
        <v>0</v>
      </c>
      <c r="H23" s="54">
        <f>(STANDARD!H23)+(PREMIUM!H23)</f>
        <v>0</v>
      </c>
      <c r="I23" s="55">
        <f>(STANDARD!I23)+(PREMIUM!I23)</f>
        <v>0</v>
      </c>
      <c r="J23" s="21">
        <f>(STANDARD!J23)+(PREMIUM!J23)</f>
        <v>0</v>
      </c>
      <c r="K23" s="21">
        <f>(STANDARD!K23)+(PREMIUM!K23)</f>
        <v>0</v>
      </c>
      <c r="L23" s="105"/>
      <c r="M23" s="55">
        <f>(STANDARD!M23)+(PREMIUM!M23)</f>
        <v>0</v>
      </c>
      <c r="N23" s="56"/>
      <c r="Q23" s="57"/>
      <c r="R23" s="50"/>
    </row>
    <row r="24" spans="2:18" s="22" customFormat="1" ht="15.75" customHeight="1" thickBot="1" x14ac:dyDescent="0.25">
      <c r="B24" s="58"/>
      <c r="C24" s="59"/>
      <c r="D24" s="59"/>
      <c r="E24" s="59"/>
      <c r="F24" s="59"/>
      <c r="G24" s="60"/>
      <c r="H24" s="61"/>
      <c r="I24" s="62"/>
      <c r="J24" s="63"/>
      <c r="K24" s="64"/>
      <c r="L24" s="107"/>
      <c r="M24" s="66"/>
      <c r="N24" s="67"/>
    </row>
    <row r="25" spans="2:18" s="75" customFormat="1" ht="15.75" customHeight="1" thickBot="1" x14ac:dyDescent="0.3">
      <c r="B25" s="68" t="s">
        <v>24</v>
      </c>
      <c r="C25" s="69">
        <f>AVERAGEIF(C12:C23,"&gt;0")</f>
        <v>359.66666666666669</v>
      </c>
      <c r="D25" s="69">
        <f>AVERAGEIF(D12:D23,"&gt;0")</f>
        <v>115.33333333333333</v>
      </c>
      <c r="E25" s="69">
        <f>AVERAGEIF(E12:E23,"&gt;0")</f>
        <v>81.5</v>
      </c>
      <c r="F25" s="69">
        <f>AVERAGEIF(F12:F23,"&gt;0")</f>
        <v>125.5</v>
      </c>
      <c r="G25" s="69">
        <f>AVERAGEIF(G12:G23,"&gt;0")</f>
        <v>682</v>
      </c>
      <c r="H25" s="70">
        <f>SUM(H11:H23)</f>
        <v>17391</v>
      </c>
      <c r="I25" s="70">
        <f>SUM(I11:I23)</f>
        <v>207837.73</v>
      </c>
      <c r="J25" s="71">
        <f>SUM(J11:J23)</f>
        <v>565421.1</v>
      </c>
      <c r="K25" s="72">
        <f>SUM(K11:K23)</f>
        <v>248513.07</v>
      </c>
      <c r="L25" s="73">
        <f>SUM(L12:L23)</f>
        <v>1102</v>
      </c>
      <c r="M25" s="70">
        <f>SUM(M12:M23)</f>
        <v>-66750.23000000001</v>
      </c>
      <c r="N25" s="74">
        <f>K25/I25</f>
        <v>1.1957071990730461</v>
      </c>
    </row>
    <row r="26" spans="2:18" s="22" customFormat="1" ht="15.75" customHeight="1" x14ac:dyDescent="0.2">
      <c r="J26" s="76"/>
      <c r="L26" s="77"/>
    </row>
    <row r="27" spans="2:18" s="22" customFormat="1" ht="15.75" customHeight="1" x14ac:dyDescent="0.25">
      <c r="H27" s="78"/>
      <c r="J27" s="126" t="s">
        <v>26</v>
      </c>
      <c r="K27" s="127"/>
      <c r="L27" s="127"/>
      <c r="M27" s="127"/>
      <c r="N27" s="128"/>
    </row>
    <row r="28" spans="2:18" s="22" customFormat="1" ht="15.75" customHeight="1" x14ac:dyDescent="0.2">
      <c r="H28" s="76"/>
      <c r="J28" s="123" t="s">
        <v>29</v>
      </c>
      <c r="K28" s="124"/>
      <c r="L28" s="124"/>
      <c r="M28" s="125"/>
      <c r="N28" s="81">
        <f>J25/L25</f>
        <v>513.08629764065336</v>
      </c>
    </row>
    <row r="29" spans="2:18" s="22" customFormat="1" ht="15.75" customHeight="1" x14ac:dyDescent="0.2">
      <c r="H29" s="84"/>
      <c r="J29" s="123" t="s">
        <v>31</v>
      </c>
      <c r="K29" s="124"/>
      <c r="L29" s="124"/>
      <c r="M29" s="125"/>
      <c r="N29" s="81">
        <f>K25/L25</f>
        <v>225.51095281306715</v>
      </c>
    </row>
    <row r="30" spans="2:18" s="22" customFormat="1" ht="15.75" customHeight="1" x14ac:dyDescent="0.2">
      <c r="H30" s="84"/>
      <c r="J30" s="123" t="s">
        <v>32</v>
      </c>
      <c r="K30" s="124"/>
      <c r="L30" s="124"/>
      <c r="M30" s="125"/>
      <c r="N30" s="86">
        <f>((L25/COUNTIF(G12:G23,"&gt;0"))*12)/G25</f>
        <v>3.2316715542521992</v>
      </c>
    </row>
    <row r="31" spans="2:18" s="22" customFormat="1" ht="15.75" customHeight="1" x14ac:dyDescent="0.2">
      <c r="H31" s="84"/>
      <c r="J31" s="123" t="s">
        <v>34</v>
      </c>
      <c r="K31" s="124"/>
      <c r="L31" s="124"/>
      <c r="M31" s="125"/>
      <c r="N31" s="87">
        <f>K25/J25</f>
        <v>0.43951856412857604</v>
      </c>
    </row>
    <row r="32" spans="2:18" s="22" customFormat="1" ht="15.75" customHeight="1" x14ac:dyDescent="0.2">
      <c r="H32" s="84"/>
      <c r="J32" s="123" t="s">
        <v>36</v>
      </c>
      <c r="K32" s="124"/>
      <c r="L32" s="124"/>
      <c r="M32" s="125"/>
      <c r="N32" s="81">
        <f>K25/G25/(COUNTIF(G12:G23,"&gt;0"))</f>
        <v>60.731444281524922</v>
      </c>
    </row>
    <row r="33" spans="2:14" s="22" customFormat="1" ht="15.75" customHeight="1" x14ac:dyDescent="0.2">
      <c r="H33" s="84"/>
      <c r="J33" s="89"/>
      <c r="K33" s="89"/>
      <c r="L33" s="89"/>
      <c r="M33" s="89"/>
      <c r="N33" s="90"/>
    </row>
    <row r="34" spans="2:14" s="22" customFormat="1" ht="15.75" customHeight="1" x14ac:dyDescent="0.2">
      <c r="H34" s="92"/>
      <c r="J34" s="89"/>
      <c r="K34" s="89"/>
      <c r="L34" s="89"/>
      <c r="M34" s="89"/>
      <c r="N34" s="90"/>
    </row>
    <row r="35" spans="2:14" s="22" customFormat="1" ht="15.75" customHeight="1" x14ac:dyDescent="0.25">
      <c r="J35" s="138" t="s">
        <v>41</v>
      </c>
      <c r="K35" s="139"/>
      <c r="L35" s="139"/>
      <c r="M35" s="139"/>
      <c r="N35" s="140"/>
    </row>
    <row r="36" spans="2:14" s="22" customFormat="1" ht="15.75" customHeight="1" x14ac:dyDescent="0.25">
      <c r="H36" s="78"/>
      <c r="J36" s="120" t="s">
        <v>29</v>
      </c>
      <c r="K36" s="121"/>
      <c r="L36" s="121"/>
      <c r="M36" s="122"/>
      <c r="N36" s="100">
        <v>382.63</v>
      </c>
    </row>
    <row r="37" spans="2:14" s="22" customFormat="1" ht="15.75" customHeight="1" x14ac:dyDescent="0.2">
      <c r="H37" s="91"/>
      <c r="J37" s="120" t="s">
        <v>31</v>
      </c>
      <c r="K37" s="121"/>
      <c r="L37" s="121"/>
      <c r="M37" s="122"/>
      <c r="N37" s="100">
        <v>244.05</v>
      </c>
    </row>
    <row r="38" spans="2:14" s="22" customFormat="1" ht="15.75" customHeight="1" x14ac:dyDescent="0.2">
      <c r="H38" s="91"/>
      <c r="J38" s="120" t="s">
        <v>32</v>
      </c>
      <c r="K38" s="121"/>
      <c r="L38" s="121"/>
      <c r="M38" s="122"/>
      <c r="N38" s="101">
        <v>2.66</v>
      </c>
    </row>
    <row r="39" spans="2:14" s="22" customFormat="1" ht="15.75" customHeight="1" x14ac:dyDescent="0.2">
      <c r="H39" s="91"/>
      <c r="J39" s="120" t="s">
        <v>34</v>
      </c>
      <c r="K39" s="121"/>
      <c r="L39" s="121"/>
      <c r="M39" s="122"/>
      <c r="N39" s="102">
        <v>0.63780000000000003</v>
      </c>
    </row>
    <row r="40" spans="2:14" s="22" customFormat="1" ht="15.75" customHeight="1" x14ac:dyDescent="0.2">
      <c r="H40" s="91"/>
      <c r="J40" s="120" t="s">
        <v>36</v>
      </c>
      <c r="K40" s="121"/>
      <c r="L40" s="121"/>
      <c r="M40" s="122"/>
      <c r="N40" s="100">
        <v>54.04</v>
      </c>
    </row>
    <row r="41" spans="2:14" s="22" customFormat="1" ht="15.75" customHeight="1" x14ac:dyDescent="0.25">
      <c r="H41" s="91"/>
      <c r="J41" s="114" t="s">
        <v>42</v>
      </c>
      <c r="K41" s="115"/>
      <c r="L41" s="115"/>
      <c r="M41" s="116"/>
      <c r="N41" s="100">
        <v>-1707.15</v>
      </c>
    </row>
    <row r="42" spans="2:14" s="22" customFormat="1" ht="10.15" customHeight="1" x14ac:dyDescent="0.2">
      <c r="J42" s="76"/>
      <c r="L42" s="77"/>
    </row>
    <row r="43" spans="2:14" s="22" customFormat="1" ht="10.15" customHeight="1" x14ac:dyDescent="0.2">
      <c r="B43" s="129" t="s">
        <v>49</v>
      </c>
      <c r="C43" s="130"/>
      <c r="D43" s="130"/>
      <c r="E43" s="130"/>
      <c r="F43" s="130"/>
      <c r="G43" s="130"/>
      <c r="H43" s="130"/>
      <c r="I43" s="130"/>
      <c r="J43" s="130"/>
      <c r="K43" s="130"/>
      <c r="L43" s="130"/>
      <c r="M43" s="130"/>
      <c r="N43" s="131"/>
    </row>
    <row r="44" spans="2:14" s="22" customFormat="1" ht="10.15" customHeight="1" x14ac:dyDescent="0.2">
      <c r="B44" s="132"/>
      <c r="C44" s="133"/>
      <c r="D44" s="133"/>
      <c r="E44" s="133"/>
      <c r="F44" s="133"/>
      <c r="G44" s="133"/>
      <c r="H44" s="133"/>
      <c r="I44" s="133"/>
      <c r="J44" s="133"/>
      <c r="K44" s="133"/>
      <c r="L44" s="133"/>
      <c r="M44" s="133"/>
      <c r="N44" s="134"/>
    </row>
    <row r="45" spans="2:14" s="22" customFormat="1" ht="10.15" customHeight="1" x14ac:dyDescent="0.2">
      <c r="B45" s="132"/>
      <c r="C45" s="133"/>
      <c r="D45" s="133"/>
      <c r="E45" s="133"/>
      <c r="F45" s="133"/>
      <c r="G45" s="133"/>
      <c r="H45" s="133"/>
      <c r="I45" s="133"/>
      <c r="J45" s="133"/>
      <c r="K45" s="133"/>
      <c r="L45" s="133"/>
      <c r="M45" s="133"/>
      <c r="N45" s="134"/>
    </row>
    <row r="46" spans="2:14" s="22" customFormat="1" ht="10.15" customHeight="1" x14ac:dyDescent="0.2">
      <c r="B46" s="132"/>
      <c r="C46" s="133"/>
      <c r="D46" s="133"/>
      <c r="E46" s="133"/>
      <c r="F46" s="133"/>
      <c r="G46" s="133"/>
      <c r="H46" s="133"/>
      <c r="I46" s="133"/>
      <c r="J46" s="133"/>
      <c r="K46" s="133"/>
      <c r="L46" s="133"/>
      <c r="M46" s="133"/>
      <c r="N46" s="134"/>
    </row>
    <row r="47" spans="2:14" s="22" customFormat="1" ht="10.15" customHeight="1" x14ac:dyDescent="0.2">
      <c r="B47" s="132"/>
      <c r="C47" s="133"/>
      <c r="D47" s="133"/>
      <c r="E47" s="133"/>
      <c r="F47" s="133"/>
      <c r="G47" s="133"/>
      <c r="H47" s="133"/>
      <c r="I47" s="133"/>
      <c r="J47" s="133"/>
      <c r="K47" s="133"/>
      <c r="L47" s="133"/>
      <c r="M47" s="133"/>
      <c r="N47" s="134"/>
    </row>
    <row r="48" spans="2:14" s="22" customFormat="1" ht="10.15" customHeight="1" x14ac:dyDescent="0.2">
      <c r="B48" s="132"/>
      <c r="C48" s="133"/>
      <c r="D48" s="133"/>
      <c r="E48" s="133"/>
      <c r="F48" s="133"/>
      <c r="G48" s="133"/>
      <c r="H48" s="133"/>
      <c r="I48" s="133"/>
      <c r="J48" s="133"/>
      <c r="K48" s="133"/>
      <c r="L48" s="133"/>
      <c r="M48" s="133"/>
      <c r="N48" s="134"/>
    </row>
    <row r="49" spans="2:14" s="22" customFormat="1" ht="10.15" customHeight="1" x14ac:dyDescent="0.2">
      <c r="B49" s="135"/>
      <c r="C49" s="136"/>
      <c r="D49" s="136"/>
      <c r="E49" s="136"/>
      <c r="F49" s="136"/>
      <c r="G49" s="136"/>
      <c r="H49" s="136"/>
      <c r="I49" s="136"/>
      <c r="J49" s="136"/>
      <c r="K49" s="136"/>
      <c r="L49" s="136"/>
      <c r="M49" s="136"/>
      <c r="N49" s="137"/>
    </row>
    <row r="50" spans="2:14" s="22" customFormat="1" ht="10.15" customHeight="1" x14ac:dyDescent="0.2">
      <c r="J50" s="76"/>
      <c r="L50" s="77"/>
    </row>
  </sheetData>
  <mergeCells count="27">
    <mergeCell ref="B43:N49"/>
    <mergeCell ref="J35:N35"/>
    <mergeCell ref="J36:M36"/>
    <mergeCell ref="J37:M37"/>
    <mergeCell ref="J38:M38"/>
    <mergeCell ref="J40:M40"/>
    <mergeCell ref="B6:C6"/>
    <mergeCell ref="D6:G6"/>
    <mergeCell ref="B8:G8"/>
    <mergeCell ref="J41:M41"/>
    <mergeCell ref="I8:L8"/>
    <mergeCell ref="M8:N8"/>
    <mergeCell ref="J39:M39"/>
    <mergeCell ref="K6:L6"/>
    <mergeCell ref="M6:N6"/>
    <mergeCell ref="J32:M32"/>
    <mergeCell ref="J27:N27"/>
    <mergeCell ref="J28:M28"/>
    <mergeCell ref="J29:M29"/>
    <mergeCell ref="J30:M30"/>
    <mergeCell ref="J31:M31"/>
    <mergeCell ref="B1:N1"/>
    <mergeCell ref="B2:N2"/>
    <mergeCell ref="B5:C5"/>
    <mergeCell ref="D5:G5"/>
    <mergeCell ref="K5:L5"/>
    <mergeCell ref="M5:N5"/>
  </mergeCells>
  <phoneticPr fontId="0" type="noConversion"/>
  <pageMargins left="0.7" right="0.7" top="0.75" bottom="0.75" header="0.3" footer="0.3"/>
  <pageSetup scale="6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Z52"/>
  <sheetViews>
    <sheetView workbookViewId="0">
      <selection activeCell="P14" sqref="P14"/>
    </sheetView>
  </sheetViews>
  <sheetFormatPr defaultColWidth="9.140625" defaultRowHeight="10.15" customHeight="1" x14ac:dyDescent="0.2"/>
  <cols>
    <col min="1" max="1" width="5" style="17" customWidth="1"/>
    <col min="2" max="2" width="16.42578125" style="17" bestFit="1"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08" t="str">
        <f>Summary!B1</f>
        <v>Florida Health Care Plan, Inc.</v>
      </c>
      <c r="C1" s="108"/>
      <c r="D1" s="108"/>
      <c r="E1" s="108"/>
      <c r="F1" s="108"/>
      <c r="G1" s="108"/>
      <c r="H1" s="108"/>
      <c r="I1" s="108"/>
      <c r="J1" s="108"/>
      <c r="K1" s="108"/>
      <c r="L1" s="108"/>
      <c r="M1" s="108"/>
      <c r="N1" s="108"/>
    </row>
    <row r="2" spans="2:26" s="1" customFormat="1" ht="20.25" customHeight="1" x14ac:dyDescent="0.25">
      <c r="B2" s="109" t="str">
        <f>Summary!B2</f>
        <v>Monthly Performance Report - Budgeted vs Actual Claims Paid</v>
      </c>
      <c r="C2" s="109"/>
      <c r="D2" s="109"/>
      <c r="E2" s="109"/>
      <c r="F2" s="109"/>
      <c r="G2" s="109"/>
      <c r="H2" s="109"/>
      <c r="I2" s="109"/>
      <c r="J2" s="109"/>
      <c r="K2" s="109"/>
      <c r="L2" s="109"/>
      <c r="M2" s="109"/>
      <c r="N2" s="109"/>
      <c r="O2" s="3"/>
      <c r="P2" s="3"/>
      <c r="Q2" s="4"/>
      <c r="R2" s="3"/>
      <c r="S2" s="3"/>
      <c r="T2" s="3"/>
      <c r="U2" s="3"/>
      <c r="V2" s="3"/>
      <c r="W2" s="3"/>
      <c r="X2" s="3"/>
      <c r="Y2" s="3"/>
      <c r="Z2" s="3"/>
    </row>
    <row r="3" spans="2:26" s="1" customFormat="1" ht="20.25" customHeight="1" x14ac:dyDescent="0.25">
      <c r="G3" s="5" t="s">
        <v>0</v>
      </c>
      <c r="H3" s="6">
        <f>Summary!H3</f>
        <v>46023</v>
      </c>
      <c r="I3" s="2" t="s">
        <v>1</v>
      </c>
      <c r="J3" s="6">
        <f>Summary!J3</f>
        <v>46387</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110" t="s">
        <v>2</v>
      </c>
      <c r="C5" s="110"/>
      <c r="D5" s="111" t="str">
        <f>Summary!D5</f>
        <v>S451</v>
      </c>
      <c r="E5" s="111"/>
      <c r="F5" s="111"/>
      <c r="G5" s="111"/>
      <c r="H5" s="15"/>
      <c r="I5" s="16"/>
      <c r="J5" s="16"/>
      <c r="K5" s="110" t="s">
        <v>3</v>
      </c>
      <c r="L5" s="110"/>
      <c r="M5" s="111" t="s">
        <v>46</v>
      </c>
      <c r="N5" s="111"/>
    </row>
    <row r="6" spans="2:26" s="1" customFormat="1" ht="20.25" customHeight="1" x14ac:dyDescent="0.25">
      <c r="B6" s="110" t="s">
        <v>4</v>
      </c>
      <c r="C6" s="110"/>
      <c r="D6" s="111" t="s">
        <v>44</v>
      </c>
      <c r="E6" s="111"/>
      <c r="F6" s="111"/>
      <c r="G6" s="111"/>
      <c r="H6" s="15"/>
      <c r="I6" s="12"/>
      <c r="J6" s="12"/>
      <c r="K6" s="110" t="s">
        <v>5</v>
      </c>
      <c r="L6" s="110"/>
      <c r="M6" s="111" t="s">
        <v>53</v>
      </c>
      <c r="N6" s="111"/>
    </row>
    <row r="7" spans="2:26" ht="21" customHeight="1" thickBot="1" x14ac:dyDescent="0.25">
      <c r="C7" s="18"/>
      <c r="D7" s="18"/>
      <c r="E7" s="18"/>
    </row>
    <row r="8" spans="2:26" s="22" customFormat="1" ht="15.75" customHeight="1" thickBot="1" x14ac:dyDescent="0.25">
      <c r="B8" s="112" t="s">
        <v>6</v>
      </c>
      <c r="C8" s="113"/>
      <c r="D8" s="113"/>
      <c r="E8" s="113"/>
      <c r="F8" s="113"/>
      <c r="G8" s="113"/>
      <c r="H8" s="23" t="s">
        <v>7</v>
      </c>
      <c r="I8" s="117" t="s">
        <v>8</v>
      </c>
      <c r="J8" s="117"/>
      <c r="K8" s="117"/>
      <c r="L8" s="118"/>
      <c r="M8" s="119" t="s">
        <v>9</v>
      </c>
      <c r="N8" s="118"/>
    </row>
    <row r="9" spans="2:26" s="22" customFormat="1" ht="15.75" customHeight="1" x14ac:dyDescent="0.25">
      <c r="B9" s="24"/>
      <c r="C9" s="25"/>
      <c r="D9" s="25"/>
      <c r="E9" s="25"/>
      <c r="F9" s="25"/>
      <c r="G9" s="26"/>
      <c r="H9" s="27"/>
      <c r="I9" s="28"/>
      <c r="J9" s="28"/>
      <c r="K9" s="28"/>
      <c r="L9" s="29"/>
      <c r="M9" s="30" t="s">
        <v>10</v>
      </c>
      <c r="N9" s="31" t="s">
        <v>11</v>
      </c>
    </row>
    <row r="10" spans="2:26" s="22" customFormat="1" ht="15.75" customHeight="1" thickBot="1" x14ac:dyDescent="0.3">
      <c r="B10" s="32" t="s">
        <v>12</v>
      </c>
      <c r="C10" s="33" t="s">
        <v>13</v>
      </c>
      <c r="D10" s="34" t="s">
        <v>38</v>
      </c>
      <c r="E10" s="33" t="s">
        <v>14</v>
      </c>
      <c r="F10" s="33" t="s">
        <v>15</v>
      </c>
      <c r="G10" s="33" t="s">
        <v>16</v>
      </c>
      <c r="H10" s="35" t="s">
        <v>17</v>
      </c>
      <c r="I10" s="36" t="s">
        <v>18</v>
      </c>
      <c r="J10" s="36" t="s">
        <v>19</v>
      </c>
      <c r="K10" s="36" t="s">
        <v>20</v>
      </c>
      <c r="L10" s="37" t="s">
        <v>21</v>
      </c>
      <c r="M10" s="38" t="s">
        <v>22</v>
      </c>
      <c r="N10" s="39" t="s">
        <v>23</v>
      </c>
    </row>
    <row r="11" spans="2:26" s="22" customFormat="1" ht="15.75" customHeight="1" x14ac:dyDescent="0.2">
      <c r="B11" s="40"/>
      <c r="C11" s="41"/>
      <c r="D11" s="41"/>
      <c r="E11" s="41"/>
      <c r="F11" s="41"/>
      <c r="G11" s="42"/>
      <c r="H11" s="43"/>
      <c r="I11" s="44"/>
      <c r="J11" s="45"/>
      <c r="K11" s="46"/>
      <c r="L11" s="47"/>
      <c r="M11" s="48"/>
      <c r="N11" s="49"/>
      <c r="R11" s="50"/>
    </row>
    <row r="12" spans="2:26" s="22" customFormat="1" ht="15.75" customHeight="1" x14ac:dyDescent="0.2">
      <c r="B12" s="51">
        <f>Summary!B12</f>
        <v>46023</v>
      </c>
      <c r="C12" s="52">
        <v>184</v>
      </c>
      <c r="D12" s="52">
        <v>50</v>
      </c>
      <c r="E12" s="52">
        <v>32</v>
      </c>
      <c r="F12" s="52">
        <v>52</v>
      </c>
      <c r="G12" s="53">
        <f>SUM(C12:F12)</f>
        <v>318</v>
      </c>
      <c r="H12" s="54">
        <f>(C12*$E$29)+(D12*$E$30)+(E12*$E$31)+(F12*$E$32)</f>
        <v>1351.5</v>
      </c>
      <c r="I12" s="55">
        <f>(C12*$C$29)+(D12*$C$30)+(E12*$C$31)+(F12*$C$32)</f>
        <v>10253.84</v>
      </c>
      <c r="J12" s="21">
        <v>0</v>
      </c>
      <c r="K12" s="21">
        <v>0</v>
      </c>
      <c r="L12" s="53">
        <v>0</v>
      </c>
      <c r="M12" s="55">
        <f>I12-K12</f>
        <v>10253.84</v>
      </c>
      <c r="N12" s="56">
        <f>K12/I12</f>
        <v>0</v>
      </c>
      <c r="Q12" s="50"/>
      <c r="R12" s="50"/>
    </row>
    <row r="13" spans="2:26" s="22" customFormat="1" ht="15.75" customHeight="1" x14ac:dyDescent="0.2">
      <c r="B13" s="51">
        <f>Summary!B13</f>
        <v>46054</v>
      </c>
      <c r="C13" s="52">
        <v>185</v>
      </c>
      <c r="D13" s="52">
        <v>50</v>
      </c>
      <c r="E13" s="52">
        <v>32</v>
      </c>
      <c r="F13" s="52">
        <v>52</v>
      </c>
      <c r="G13" s="53">
        <f t="shared" ref="G13:G23" si="0">SUM(C13:F13)</f>
        <v>319</v>
      </c>
      <c r="H13" s="54">
        <f t="shared" ref="H13:H23" si="1">(C13*$E$29)+(D13*$E$30)+(E13*$E$31)+(F13*$E$32)</f>
        <v>1355.75</v>
      </c>
      <c r="I13" s="55">
        <f t="shared" ref="I13:I23" si="2">(C13*$C$29)+(D13*$C$30)+(E13*$C$31)+(F13*$C$32)</f>
        <v>10273.69</v>
      </c>
      <c r="J13" s="21">
        <v>9543.15</v>
      </c>
      <c r="K13" s="21">
        <v>4928.47</v>
      </c>
      <c r="L13" s="53">
        <v>28</v>
      </c>
      <c r="M13" s="55">
        <f t="shared" ref="M13:M23" si="3">I13-K13</f>
        <v>5345.22</v>
      </c>
      <c r="N13" s="56">
        <f t="shared" ref="N13:N17" si="4">K13/I13</f>
        <v>0.47971760876569181</v>
      </c>
      <c r="Q13" s="57"/>
      <c r="R13" s="50"/>
    </row>
    <row r="14" spans="2:26" s="22" customFormat="1" ht="15.75" customHeight="1" x14ac:dyDescent="0.2">
      <c r="B14" s="51">
        <f>Summary!B14</f>
        <v>46082</v>
      </c>
      <c r="C14" s="52">
        <v>187</v>
      </c>
      <c r="D14" s="52">
        <v>50</v>
      </c>
      <c r="E14" s="52">
        <v>32</v>
      </c>
      <c r="F14" s="52">
        <v>52</v>
      </c>
      <c r="G14" s="53">
        <f t="shared" si="0"/>
        <v>321</v>
      </c>
      <c r="H14" s="54">
        <f t="shared" si="1"/>
        <v>1364.25</v>
      </c>
      <c r="I14" s="55">
        <f t="shared" si="2"/>
        <v>10313.390000000001</v>
      </c>
      <c r="J14" s="21">
        <v>58136</v>
      </c>
      <c r="K14" s="21">
        <v>27814.19</v>
      </c>
      <c r="L14" s="53">
        <v>140</v>
      </c>
      <c r="M14" s="55">
        <f t="shared" si="3"/>
        <v>-17500.799999999996</v>
      </c>
      <c r="N14" s="56">
        <f t="shared" si="4"/>
        <v>2.6969008250439472</v>
      </c>
      <c r="Q14" s="57"/>
      <c r="R14" s="50"/>
    </row>
    <row r="15" spans="2:26" s="22" customFormat="1" ht="15.75" customHeight="1" x14ac:dyDescent="0.2">
      <c r="B15" s="51">
        <f>Summary!B15</f>
        <v>46113</v>
      </c>
      <c r="C15" s="52">
        <v>175</v>
      </c>
      <c r="D15" s="52">
        <v>47</v>
      </c>
      <c r="E15" s="52">
        <v>28</v>
      </c>
      <c r="F15" s="52">
        <v>49</v>
      </c>
      <c r="G15" s="53">
        <f t="shared" si="0"/>
        <v>299</v>
      </c>
      <c r="H15" s="54">
        <f t="shared" si="1"/>
        <v>1270.75</v>
      </c>
      <c r="I15" s="55">
        <f t="shared" si="2"/>
        <v>9603.75</v>
      </c>
      <c r="J15" s="21">
        <v>91193.25</v>
      </c>
      <c r="K15" s="21">
        <v>24756.240000000002</v>
      </c>
      <c r="L15" s="53">
        <v>154</v>
      </c>
      <c r="M15" s="55">
        <f t="shared" si="3"/>
        <v>-15152.490000000002</v>
      </c>
      <c r="N15" s="56">
        <f t="shared" si="4"/>
        <v>2.5777680593518157</v>
      </c>
      <c r="Q15" s="57"/>
      <c r="R15" s="50"/>
    </row>
    <row r="16" spans="2:26" s="22" customFormat="1" ht="15.75" customHeight="1" x14ac:dyDescent="0.2">
      <c r="B16" s="51">
        <f>Summary!B16</f>
        <v>46143</v>
      </c>
      <c r="C16" s="52">
        <v>163</v>
      </c>
      <c r="D16" s="52">
        <v>47</v>
      </c>
      <c r="E16" s="52">
        <v>28</v>
      </c>
      <c r="F16" s="52">
        <v>48</v>
      </c>
      <c r="G16" s="53">
        <f t="shared" si="0"/>
        <v>286</v>
      </c>
      <c r="H16" s="54">
        <f t="shared" si="1"/>
        <v>1215.5</v>
      </c>
      <c r="I16" s="55">
        <f t="shared" si="2"/>
        <v>9301.5499999999993</v>
      </c>
      <c r="J16" s="21">
        <v>26008</v>
      </c>
      <c r="K16" s="21">
        <v>11947.35</v>
      </c>
      <c r="L16" s="53">
        <v>74</v>
      </c>
      <c r="M16" s="55">
        <f t="shared" si="3"/>
        <v>-2645.8000000000011</v>
      </c>
      <c r="N16" s="56">
        <f t="shared" si="4"/>
        <v>1.2844472157866162</v>
      </c>
      <c r="Q16" s="57"/>
      <c r="R16" s="50"/>
    </row>
    <row r="17" spans="2:18" s="22" customFormat="1" ht="15.75" customHeight="1" x14ac:dyDescent="0.2">
      <c r="B17" s="51">
        <f>Summary!B17</f>
        <v>46174</v>
      </c>
      <c r="C17" s="52">
        <v>159</v>
      </c>
      <c r="D17" s="52">
        <v>46</v>
      </c>
      <c r="E17" s="52">
        <v>27</v>
      </c>
      <c r="F17" s="52">
        <v>47</v>
      </c>
      <c r="G17" s="53">
        <f t="shared" si="0"/>
        <v>279</v>
      </c>
      <c r="H17" s="54">
        <f t="shared" si="1"/>
        <v>1185.75</v>
      </c>
      <c r="I17" s="55">
        <f t="shared" si="2"/>
        <v>9078.3100000000013</v>
      </c>
      <c r="J17" s="21">
        <v>16357</v>
      </c>
      <c r="K17" s="21">
        <v>7755.91</v>
      </c>
      <c r="L17" s="53">
        <v>35</v>
      </c>
      <c r="M17" s="55">
        <f t="shared" si="3"/>
        <v>1322.4000000000015</v>
      </c>
      <c r="N17" s="56">
        <f t="shared" si="4"/>
        <v>0.8543341216592073</v>
      </c>
      <c r="Q17" s="57"/>
      <c r="R17" s="50"/>
    </row>
    <row r="18" spans="2:18" s="22" customFormat="1" ht="15.75" customHeight="1" x14ac:dyDescent="0.2">
      <c r="B18" s="51">
        <f>Summary!B18</f>
        <v>46204</v>
      </c>
      <c r="C18" s="52"/>
      <c r="D18" s="52"/>
      <c r="E18" s="52"/>
      <c r="F18" s="52"/>
      <c r="G18" s="53">
        <f t="shared" si="0"/>
        <v>0</v>
      </c>
      <c r="H18" s="54">
        <f t="shared" si="1"/>
        <v>0</v>
      </c>
      <c r="I18" s="55">
        <f t="shared" si="2"/>
        <v>0</v>
      </c>
      <c r="J18" s="21"/>
      <c r="K18" s="21"/>
      <c r="L18" s="53"/>
      <c r="M18" s="55">
        <f t="shared" si="3"/>
        <v>0</v>
      </c>
      <c r="N18" s="56"/>
      <c r="Q18" s="57"/>
      <c r="R18" s="50"/>
    </row>
    <row r="19" spans="2:18" s="22" customFormat="1" ht="15.75" customHeight="1" x14ac:dyDescent="0.2">
      <c r="B19" s="51">
        <f>Summary!B19</f>
        <v>46235</v>
      </c>
      <c r="C19" s="52"/>
      <c r="D19" s="52"/>
      <c r="E19" s="52"/>
      <c r="F19" s="52"/>
      <c r="G19" s="53">
        <f t="shared" si="0"/>
        <v>0</v>
      </c>
      <c r="H19" s="54">
        <f t="shared" si="1"/>
        <v>0</v>
      </c>
      <c r="I19" s="55">
        <f t="shared" si="2"/>
        <v>0</v>
      </c>
      <c r="J19" s="21"/>
      <c r="K19" s="21"/>
      <c r="L19" s="53"/>
      <c r="M19" s="55">
        <f t="shared" si="3"/>
        <v>0</v>
      </c>
      <c r="N19" s="56"/>
      <c r="Q19" s="57"/>
      <c r="R19" s="50"/>
    </row>
    <row r="20" spans="2:18" s="22" customFormat="1" ht="15.75" customHeight="1" x14ac:dyDescent="0.2">
      <c r="B20" s="51">
        <f>Summary!B20</f>
        <v>46266</v>
      </c>
      <c r="C20" s="52"/>
      <c r="D20" s="52"/>
      <c r="E20" s="52"/>
      <c r="F20" s="52"/>
      <c r="G20" s="53">
        <f t="shared" si="0"/>
        <v>0</v>
      </c>
      <c r="H20" s="54">
        <f t="shared" si="1"/>
        <v>0</v>
      </c>
      <c r="I20" s="55">
        <f t="shared" si="2"/>
        <v>0</v>
      </c>
      <c r="J20" s="21"/>
      <c r="K20" s="21"/>
      <c r="L20" s="53"/>
      <c r="M20" s="55">
        <f t="shared" si="3"/>
        <v>0</v>
      </c>
      <c r="N20" s="56"/>
      <c r="Q20" s="57"/>
      <c r="R20" s="50"/>
    </row>
    <row r="21" spans="2:18" s="22" customFormat="1" ht="15.75" customHeight="1" x14ac:dyDescent="0.2">
      <c r="B21" s="51">
        <f>Summary!B21</f>
        <v>46296</v>
      </c>
      <c r="C21" s="52"/>
      <c r="D21" s="52"/>
      <c r="E21" s="52"/>
      <c r="F21" s="52"/>
      <c r="G21" s="53">
        <f t="shared" si="0"/>
        <v>0</v>
      </c>
      <c r="H21" s="54">
        <f t="shared" si="1"/>
        <v>0</v>
      </c>
      <c r="I21" s="55">
        <f t="shared" si="2"/>
        <v>0</v>
      </c>
      <c r="J21" s="21"/>
      <c r="K21" s="21"/>
      <c r="L21" s="53"/>
      <c r="M21" s="55">
        <f t="shared" si="3"/>
        <v>0</v>
      </c>
      <c r="N21" s="99"/>
      <c r="Q21" s="57"/>
      <c r="R21" s="50"/>
    </row>
    <row r="22" spans="2:18" s="22" customFormat="1" ht="15.75" customHeight="1" x14ac:dyDescent="0.2">
      <c r="B22" s="51">
        <f>Summary!B22</f>
        <v>46327</v>
      </c>
      <c r="C22" s="52"/>
      <c r="D22" s="52"/>
      <c r="E22" s="52"/>
      <c r="F22" s="52"/>
      <c r="G22" s="53">
        <f t="shared" si="0"/>
        <v>0</v>
      </c>
      <c r="H22" s="54">
        <f t="shared" si="1"/>
        <v>0</v>
      </c>
      <c r="I22" s="55">
        <f t="shared" si="2"/>
        <v>0</v>
      </c>
      <c r="J22" s="21"/>
      <c r="K22" s="21"/>
      <c r="L22" s="53"/>
      <c r="M22" s="55">
        <f t="shared" si="3"/>
        <v>0</v>
      </c>
      <c r="N22" s="56"/>
      <c r="Q22" s="57"/>
      <c r="R22" s="50"/>
    </row>
    <row r="23" spans="2:18" s="22" customFormat="1" ht="15.75" customHeight="1" x14ac:dyDescent="0.2">
      <c r="B23" s="51">
        <f>Summary!B23</f>
        <v>46357</v>
      </c>
      <c r="C23" s="52"/>
      <c r="D23" s="52"/>
      <c r="E23" s="52"/>
      <c r="F23" s="52"/>
      <c r="G23" s="53">
        <f t="shared" si="0"/>
        <v>0</v>
      </c>
      <c r="H23" s="54">
        <f t="shared" si="1"/>
        <v>0</v>
      </c>
      <c r="I23" s="55">
        <f t="shared" si="2"/>
        <v>0</v>
      </c>
      <c r="J23" s="21"/>
      <c r="K23" s="21"/>
      <c r="L23" s="53"/>
      <c r="M23" s="55">
        <f t="shared" si="3"/>
        <v>0</v>
      </c>
      <c r="N23" s="56"/>
      <c r="Q23" s="57"/>
      <c r="R23" s="50"/>
    </row>
    <row r="24" spans="2:18" s="22" customFormat="1" ht="15.75" customHeight="1" thickBot="1" x14ac:dyDescent="0.25">
      <c r="B24" s="58"/>
      <c r="C24" s="59"/>
      <c r="D24" s="59"/>
      <c r="E24" s="59"/>
      <c r="F24" s="59"/>
      <c r="G24" s="60"/>
      <c r="H24" s="61"/>
      <c r="I24" s="62"/>
      <c r="J24" s="63"/>
      <c r="K24" s="64"/>
      <c r="L24" s="65"/>
      <c r="M24" s="66"/>
      <c r="N24" s="67"/>
    </row>
    <row r="25" spans="2:18" s="75" customFormat="1" ht="15.75" customHeight="1" thickBot="1" x14ac:dyDescent="0.3">
      <c r="B25" s="68" t="s">
        <v>24</v>
      </c>
      <c r="C25" s="69">
        <f>AVERAGEIF(C12:C23,"&gt;0")</f>
        <v>175.5</v>
      </c>
      <c r="D25" s="69">
        <f>AVERAGEIF(D12:D23,"&gt;0")</f>
        <v>48.333333333333336</v>
      </c>
      <c r="E25" s="69">
        <f>AVERAGEIF(E12:E23,"&gt;0")</f>
        <v>29.833333333333332</v>
      </c>
      <c r="F25" s="69">
        <f>AVERAGEIF(F12:F23,"&gt;0")</f>
        <v>50</v>
      </c>
      <c r="G25" s="69">
        <f>AVERAGEIF(G12:G23,"&gt;0")</f>
        <v>303.66666666666669</v>
      </c>
      <c r="H25" s="70">
        <f>SUM(H11:H23)</f>
        <v>7743.5</v>
      </c>
      <c r="I25" s="70">
        <f>SUM(I11:I23)</f>
        <v>58824.53</v>
      </c>
      <c r="J25" s="71">
        <f>SUM(J11:J23)</f>
        <v>201237.4</v>
      </c>
      <c r="K25" s="72">
        <f>SUM(K11:K23)</f>
        <v>77202.16</v>
      </c>
      <c r="L25" s="73">
        <f>SUM(L12:L23)</f>
        <v>431</v>
      </c>
      <c r="M25" s="70">
        <f>SUM(M12:M23)</f>
        <v>-18377.629999999997</v>
      </c>
      <c r="N25" s="74">
        <f>K25/I25</f>
        <v>1.312414395831127</v>
      </c>
    </row>
    <row r="26" spans="2:18" s="22" customFormat="1" ht="15.75" customHeight="1" x14ac:dyDescent="0.2">
      <c r="J26" s="76"/>
      <c r="L26" s="77"/>
    </row>
    <row r="27" spans="2:18" s="22" customFormat="1" ht="15.75" customHeight="1" x14ac:dyDescent="0.25">
      <c r="B27" s="141" t="s">
        <v>25</v>
      </c>
      <c r="C27" s="142"/>
      <c r="D27" s="142"/>
      <c r="E27" s="142"/>
      <c r="F27" s="142"/>
      <c r="G27" s="143"/>
      <c r="H27" s="78"/>
      <c r="J27" s="126" t="s">
        <v>26</v>
      </c>
      <c r="K27" s="127"/>
      <c r="L27" s="127"/>
      <c r="M27" s="127"/>
      <c r="N27" s="128"/>
    </row>
    <row r="28" spans="2:18" s="22" customFormat="1" ht="15.75" customHeight="1" x14ac:dyDescent="0.2">
      <c r="B28" s="79"/>
      <c r="C28" s="127" t="s">
        <v>27</v>
      </c>
      <c r="D28" s="128"/>
      <c r="E28" s="144" t="s">
        <v>28</v>
      </c>
      <c r="F28" s="128"/>
      <c r="G28" s="80" t="s">
        <v>16</v>
      </c>
      <c r="H28" s="76"/>
      <c r="J28" s="123" t="s">
        <v>29</v>
      </c>
      <c r="K28" s="124"/>
      <c r="L28" s="124"/>
      <c r="M28" s="125"/>
      <c r="N28" s="81">
        <f>J25/L25</f>
        <v>466.90812064965195</v>
      </c>
    </row>
    <row r="29" spans="2:18" s="22" customFormat="1" ht="15.75" customHeight="1" x14ac:dyDescent="0.2">
      <c r="B29" s="82" t="s">
        <v>30</v>
      </c>
      <c r="C29" s="145">
        <v>19.850000000000001</v>
      </c>
      <c r="D29" s="146"/>
      <c r="E29" s="147">
        <v>4.25</v>
      </c>
      <c r="F29" s="146"/>
      <c r="G29" s="83">
        <f>C29+E29</f>
        <v>24.1</v>
      </c>
      <c r="H29" s="84"/>
      <c r="J29" s="123" t="s">
        <v>31</v>
      </c>
      <c r="K29" s="124"/>
      <c r="L29" s="124"/>
      <c r="M29" s="125"/>
      <c r="N29" s="81">
        <f>K25/L25</f>
        <v>179.12334106728539</v>
      </c>
    </row>
    <row r="30" spans="2:18" s="22" customFormat="1" ht="15.75" customHeight="1" x14ac:dyDescent="0.2">
      <c r="B30" s="85" t="str">
        <f>IF(D10="E+1","EE &amp; One","EE &amp; Spouse")</f>
        <v>EE &amp; Spouse</v>
      </c>
      <c r="C30" s="145">
        <v>39.92</v>
      </c>
      <c r="D30" s="146"/>
      <c r="E30" s="147">
        <v>4.25</v>
      </c>
      <c r="F30" s="146"/>
      <c r="G30" s="83">
        <f>C30+E30</f>
        <v>44.17</v>
      </c>
      <c r="H30" s="84"/>
      <c r="J30" s="123" t="s">
        <v>32</v>
      </c>
      <c r="K30" s="124"/>
      <c r="L30" s="124"/>
      <c r="M30" s="125"/>
      <c r="N30" s="86">
        <f>((L25/COUNTIF(G12:G23,"&gt;0"))*12)/G25</f>
        <v>2.8386388583973652</v>
      </c>
    </row>
    <row r="31" spans="2:18" s="22" customFormat="1" ht="15.75" customHeight="1" x14ac:dyDescent="0.2">
      <c r="B31" s="82" t="s">
        <v>33</v>
      </c>
      <c r="C31" s="145">
        <v>39.92</v>
      </c>
      <c r="D31" s="146"/>
      <c r="E31" s="147">
        <v>4.25</v>
      </c>
      <c r="F31" s="146"/>
      <c r="G31" s="83">
        <f>C31+E31</f>
        <v>44.17</v>
      </c>
      <c r="H31" s="84"/>
      <c r="J31" s="123" t="s">
        <v>34</v>
      </c>
      <c r="K31" s="124"/>
      <c r="L31" s="124"/>
      <c r="M31" s="125"/>
      <c r="N31" s="87">
        <f>K25/J25</f>
        <v>0.38363723641828013</v>
      </c>
    </row>
    <row r="32" spans="2:18" s="22" customFormat="1" ht="15.75" customHeight="1" x14ac:dyDescent="0.2">
      <c r="B32" s="82" t="s">
        <v>35</v>
      </c>
      <c r="C32" s="145">
        <v>64</v>
      </c>
      <c r="D32" s="146"/>
      <c r="E32" s="147">
        <v>4.25</v>
      </c>
      <c r="F32" s="146"/>
      <c r="G32" s="83">
        <f>C32+E32</f>
        <v>68.25</v>
      </c>
      <c r="H32" s="84"/>
      <c r="J32" s="123" t="s">
        <v>36</v>
      </c>
      <c r="K32" s="124"/>
      <c r="L32" s="124"/>
      <c r="M32" s="125"/>
      <c r="N32" s="81">
        <f>K25/G25/(COUNTIF(G12:G23,"&gt;0"))</f>
        <v>42.372206366630074</v>
      </c>
    </row>
    <row r="33" spans="2:14" s="22" customFormat="1" ht="15.75" customHeight="1" x14ac:dyDescent="0.2">
      <c r="C33" s="84"/>
      <c r="D33" s="84"/>
      <c r="E33" s="84"/>
      <c r="F33" s="88"/>
      <c r="G33" s="84"/>
      <c r="H33" s="84"/>
      <c r="J33" s="89"/>
      <c r="K33" s="89"/>
      <c r="L33" s="89"/>
      <c r="M33" s="89"/>
      <c r="N33" s="90"/>
    </row>
    <row r="34" spans="2:14" s="22" customFormat="1" ht="15.75" customHeight="1" thickBot="1" x14ac:dyDescent="0.25">
      <c r="J34" s="76"/>
      <c r="L34" s="77"/>
    </row>
    <row r="35" spans="2:14" s="22" customFormat="1" ht="15.75" customHeight="1" thickBot="1" x14ac:dyDescent="0.3">
      <c r="B35" s="163" t="s">
        <v>37</v>
      </c>
      <c r="C35" s="163"/>
      <c r="D35" s="163"/>
      <c r="E35" s="163"/>
      <c r="F35" s="163"/>
      <c r="G35" s="163"/>
      <c r="H35" s="78"/>
      <c r="J35" s="151" t="s">
        <v>41</v>
      </c>
      <c r="K35" s="152"/>
      <c r="L35" s="152"/>
      <c r="M35" s="152"/>
      <c r="N35" s="153"/>
    </row>
    <row r="36" spans="2:14" s="22" customFormat="1" ht="15.75" customHeight="1" x14ac:dyDescent="0.2">
      <c r="B36" s="164" t="s">
        <v>58</v>
      </c>
      <c r="C36" s="165"/>
      <c r="D36" s="165"/>
      <c r="E36" s="165"/>
      <c r="F36" s="165"/>
      <c r="G36" s="166"/>
      <c r="H36" s="91"/>
      <c r="J36" s="154" t="s">
        <v>29</v>
      </c>
      <c r="K36" s="155"/>
      <c r="L36" s="155"/>
      <c r="M36" s="156"/>
      <c r="N36" s="93">
        <v>331.72</v>
      </c>
    </row>
    <row r="37" spans="2:14" s="22" customFormat="1" ht="15.75" customHeight="1" x14ac:dyDescent="0.2">
      <c r="B37" s="157" t="s">
        <v>59</v>
      </c>
      <c r="C37" s="158"/>
      <c r="D37" s="158"/>
      <c r="E37" s="158"/>
      <c r="F37" s="158"/>
      <c r="G37" s="159"/>
      <c r="H37" s="91"/>
      <c r="J37" s="154" t="s">
        <v>31</v>
      </c>
      <c r="K37" s="155"/>
      <c r="L37" s="155"/>
      <c r="M37" s="156"/>
      <c r="N37" s="93">
        <v>204.39</v>
      </c>
    </row>
    <row r="38" spans="2:14" s="22" customFormat="1" ht="15.75" customHeight="1" x14ac:dyDescent="0.2">
      <c r="B38" s="157" t="s">
        <v>57</v>
      </c>
      <c r="C38" s="158"/>
      <c r="D38" s="158"/>
      <c r="E38" s="158"/>
      <c r="F38" s="158"/>
      <c r="G38" s="159"/>
      <c r="H38" s="91"/>
      <c r="J38" s="154" t="s">
        <v>32</v>
      </c>
      <c r="K38" s="155"/>
      <c r="L38" s="155"/>
      <c r="M38" s="156"/>
      <c r="N38" s="94">
        <v>2.0699999999999998</v>
      </c>
    </row>
    <row r="39" spans="2:14" s="22" customFormat="1" ht="15.75" customHeight="1" x14ac:dyDescent="0.2">
      <c r="B39" s="157" t="s">
        <v>48</v>
      </c>
      <c r="C39" s="158"/>
      <c r="D39" s="158"/>
      <c r="E39" s="158"/>
      <c r="F39" s="158"/>
      <c r="G39" s="159"/>
      <c r="H39" s="91"/>
      <c r="J39" s="154" t="s">
        <v>34</v>
      </c>
      <c r="K39" s="155"/>
      <c r="L39" s="155"/>
      <c r="M39" s="156"/>
      <c r="N39" s="95">
        <v>0.61619999999999997</v>
      </c>
    </row>
    <row r="40" spans="2:14" s="22" customFormat="1" ht="15.75" thickBot="1" x14ac:dyDescent="0.25">
      <c r="B40" s="160" t="s">
        <v>39</v>
      </c>
      <c r="C40" s="161"/>
      <c r="D40" s="161"/>
      <c r="E40" s="161"/>
      <c r="F40" s="161"/>
      <c r="G40" s="162"/>
      <c r="H40" s="91"/>
      <c r="J40" s="154" t="s">
        <v>36</v>
      </c>
      <c r="K40" s="155"/>
      <c r="L40" s="155"/>
      <c r="M40" s="156"/>
      <c r="N40" s="93">
        <v>35.229999999999997</v>
      </c>
    </row>
    <row r="41" spans="2:14" s="22" customFormat="1" ht="15.75" x14ac:dyDescent="0.25">
      <c r="J41" s="148" t="s">
        <v>42</v>
      </c>
      <c r="K41" s="149"/>
      <c r="L41" s="149"/>
      <c r="M41" s="150"/>
      <c r="N41" s="93">
        <v>3507.66</v>
      </c>
    </row>
    <row r="42" spans="2:14" s="22" customFormat="1" ht="10.15" customHeight="1" x14ac:dyDescent="0.2">
      <c r="J42" s="96"/>
      <c r="K42" s="97"/>
      <c r="L42" s="98"/>
      <c r="M42" s="97"/>
      <c r="N42" s="97"/>
    </row>
    <row r="43" spans="2:14" s="22" customFormat="1" ht="10.15" customHeight="1" x14ac:dyDescent="0.2">
      <c r="B43" s="129" t="s">
        <v>49</v>
      </c>
      <c r="C43" s="130"/>
      <c r="D43" s="130"/>
      <c r="E43" s="130"/>
      <c r="F43" s="130"/>
      <c r="G43" s="130"/>
      <c r="H43" s="130"/>
      <c r="I43" s="130"/>
      <c r="J43" s="130"/>
      <c r="K43" s="130"/>
      <c r="L43" s="130"/>
      <c r="M43" s="130"/>
      <c r="N43" s="131"/>
    </row>
    <row r="44" spans="2:14" s="22" customFormat="1" ht="10.15" customHeight="1" x14ac:dyDescent="0.2">
      <c r="B44" s="132"/>
      <c r="C44" s="133"/>
      <c r="D44" s="133"/>
      <c r="E44" s="133"/>
      <c r="F44" s="133"/>
      <c r="G44" s="133"/>
      <c r="H44" s="133"/>
      <c r="I44" s="133"/>
      <c r="J44" s="133"/>
      <c r="K44" s="133"/>
      <c r="L44" s="133"/>
      <c r="M44" s="133"/>
      <c r="N44" s="134"/>
    </row>
    <row r="45" spans="2:14" s="22" customFormat="1" ht="10.15" customHeight="1" x14ac:dyDescent="0.2">
      <c r="B45" s="132"/>
      <c r="C45" s="133"/>
      <c r="D45" s="133"/>
      <c r="E45" s="133"/>
      <c r="F45" s="133"/>
      <c r="G45" s="133"/>
      <c r="H45" s="133"/>
      <c r="I45" s="133"/>
      <c r="J45" s="133"/>
      <c r="K45" s="133"/>
      <c r="L45" s="133"/>
      <c r="M45" s="133"/>
      <c r="N45" s="134"/>
    </row>
    <row r="46" spans="2:14" s="22" customFormat="1" ht="10.15" customHeight="1" x14ac:dyDescent="0.2">
      <c r="B46" s="132"/>
      <c r="C46" s="133"/>
      <c r="D46" s="133"/>
      <c r="E46" s="133"/>
      <c r="F46" s="133"/>
      <c r="G46" s="133"/>
      <c r="H46" s="133"/>
      <c r="I46" s="133"/>
      <c r="J46" s="133"/>
      <c r="K46" s="133"/>
      <c r="L46" s="133"/>
      <c r="M46" s="133"/>
      <c r="N46" s="134"/>
    </row>
    <row r="47" spans="2:14" s="22" customFormat="1" ht="10.15" customHeight="1" x14ac:dyDescent="0.2">
      <c r="B47" s="132"/>
      <c r="C47" s="133"/>
      <c r="D47" s="133"/>
      <c r="E47" s="133"/>
      <c r="F47" s="133"/>
      <c r="G47" s="133"/>
      <c r="H47" s="133"/>
      <c r="I47" s="133"/>
      <c r="J47" s="133"/>
      <c r="K47" s="133"/>
      <c r="L47" s="133"/>
      <c r="M47" s="133"/>
      <c r="N47" s="134"/>
    </row>
    <row r="48" spans="2:14" s="22" customFormat="1" ht="10.15" customHeight="1" x14ac:dyDescent="0.2">
      <c r="B48" s="132"/>
      <c r="C48" s="133"/>
      <c r="D48" s="133"/>
      <c r="E48" s="133"/>
      <c r="F48" s="133"/>
      <c r="G48" s="133"/>
      <c r="H48" s="133"/>
      <c r="I48" s="133"/>
      <c r="J48" s="133"/>
      <c r="K48" s="133"/>
      <c r="L48" s="133"/>
      <c r="M48" s="133"/>
      <c r="N48" s="134"/>
    </row>
    <row r="49" spans="2:14" s="22" customFormat="1" ht="10.15" customHeight="1" x14ac:dyDescent="0.2">
      <c r="B49" s="135"/>
      <c r="C49" s="136"/>
      <c r="D49" s="136"/>
      <c r="E49" s="136"/>
      <c r="F49" s="136"/>
      <c r="G49" s="136"/>
      <c r="H49" s="136"/>
      <c r="I49" s="136"/>
      <c r="J49" s="136"/>
      <c r="K49" s="136"/>
      <c r="L49" s="136"/>
      <c r="M49" s="136"/>
      <c r="N49" s="137"/>
    </row>
    <row r="50" spans="2:14" s="22" customFormat="1" ht="10.15" customHeight="1" x14ac:dyDescent="0.2">
      <c r="J50" s="76"/>
      <c r="L50" s="77"/>
    </row>
    <row r="51" spans="2:14" s="22" customFormat="1" ht="10.15" customHeight="1" x14ac:dyDescent="0.2">
      <c r="J51" s="76"/>
      <c r="L51" s="77"/>
    </row>
    <row r="52" spans="2:14" s="22" customFormat="1" ht="10.15" customHeight="1" x14ac:dyDescent="0.2">
      <c r="J52" s="76"/>
      <c r="L52" s="77"/>
    </row>
  </sheetData>
  <mergeCells count="44">
    <mergeCell ref="J41:M41"/>
    <mergeCell ref="B43:N49"/>
    <mergeCell ref="J35:N35"/>
    <mergeCell ref="J36:M36"/>
    <mergeCell ref="J37:M37"/>
    <mergeCell ref="J38:M38"/>
    <mergeCell ref="J39:M39"/>
    <mergeCell ref="J40:M40"/>
    <mergeCell ref="B37:G37"/>
    <mergeCell ref="B38:G38"/>
    <mergeCell ref="B40:G40"/>
    <mergeCell ref="B35:G35"/>
    <mergeCell ref="B36:G36"/>
    <mergeCell ref="B39:G39"/>
    <mergeCell ref="B1:N1"/>
    <mergeCell ref="B2:N2"/>
    <mergeCell ref="B5:C5"/>
    <mergeCell ref="D5:G5"/>
    <mergeCell ref="K5:L5"/>
    <mergeCell ref="M5:N5"/>
    <mergeCell ref="B6:C6"/>
    <mergeCell ref="D6:G6"/>
    <mergeCell ref="K6:L6"/>
    <mergeCell ref="M6:N6"/>
    <mergeCell ref="B8:G8"/>
    <mergeCell ref="I8:L8"/>
    <mergeCell ref="M8:N8"/>
    <mergeCell ref="J32:M32"/>
    <mergeCell ref="C29:D29"/>
    <mergeCell ref="E29:F29"/>
    <mergeCell ref="J29:M29"/>
    <mergeCell ref="C30:D30"/>
    <mergeCell ref="E30:F30"/>
    <mergeCell ref="J30:M30"/>
    <mergeCell ref="C31:D31"/>
    <mergeCell ref="E31:F31"/>
    <mergeCell ref="J31:M31"/>
    <mergeCell ref="C32:D32"/>
    <mergeCell ref="E32:F32"/>
    <mergeCell ref="B27:G27"/>
    <mergeCell ref="J27:N27"/>
    <mergeCell ref="C28:D28"/>
    <mergeCell ref="E28:F28"/>
    <mergeCell ref="J28:M28"/>
  </mergeCells>
  <phoneticPr fontId="0" type="noConversion"/>
  <pageMargins left="0.7" right="0.7" top="0.75" bottom="0.75" header="0.3" footer="0.3"/>
  <pageSetup scale="6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Z51"/>
  <sheetViews>
    <sheetView workbookViewId="0">
      <selection activeCell="P14" sqref="P14"/>
    </sheetView>
  </sheetViews>
  <sheetFormatPr defaultColWidth="9.140625" defaultRowHeight="10.15" customHeight="1" x14ac:dyDescent="0.2"/>
  <cols>
    <col min="1" max="1" width="5" style="17" customWidth="1"/>
    <col min="2" max="2" width="16.42578125" style="17" bestFit="1"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08" t="str">
        <f>Summary!B1</f>
        <v>Florida Health Care Plan, Inc.</v>
      </c>
      <c r="C1" s="108"/>
      <c r="D1" s="108"/>
      <c r="E1" s="108"/>
      <c r="F1" s="108"/>
      <c r="G1" s="108"/>
      <c r="H1" s="108"/>
      <c r="I1" s="108"/>
      <c r="J1" s="108"/>
      <c r="K1" s="108"/>
      <c r="L1" s="108"/>
      <c r="M1" s="108"/>
      <c r="N1" s="108"/>
    </row>
    <row r="2" spans="2:26" s="1" customFormat="1" ht="20.25" customHeight="1" x14ac:dyDescent="0.25">
      <c r="B2" s="109" t="str">
        <f>Summary!B2</f>
        <v>Monthly Performance Report - Budgeted vs Actual Claims Paid</v>
      </c>
      <c r="C2" s="109"/>
      <c r="D2" s="109"/>
      <c r="E2" s="109"/>
      <c r="F2" s="109"/>
      <c r="G2" s="109"/>
      <c r="H2" s="109"/>
      <c r="I2" s="109"/>
      <c r="J2" s="109"/>
      <c r="K2" s="109"/>
      <c r="L2" s="109"/>
      <c r="M2" s="109"/>
      <c r="N2" s="109"/>
      <c r="O2" s="3"/>
      <c r="P2" s="3"/>
      <c r="Q2" s="4"/>
      <c r="R2" s="3"/>
      <c r="S2" s="3"/>
      <c r="T2" s="3"/>
      <c r="U2" s="3"/>
      <c r="V2" s="3"/>
      <c r="W2" s="3"/>
      <c r="X2" s="3"/>
      <c r="Y2" s="3"/>
      <c r="Z2" s="3"/>
    </row>
    <row r="3" spans="2:26" s="1" customFormat="1" ht="20.25" customHeight="1" x14ac:dyDescent="0.25">
      <c r="G3" s="5" t="s">
        <v>0</v>
      </c>
      <c r="H3" s="6">
        <f>Summary!H3</f>
        <v>46023</v>
      </c>
      <c r="I3" s="2" t="s">
        <v>1</v>
      </c>
      <c r="J3" s="6">
        <f>Summary!J3</f>
        <v>46387</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110" t="s">
        <v>2</v>
      </c>
      <c r="C5" s="110"/>
      <c r="D5" s="111" t="str">
        <f>Summary!D5</f>
        <v>S451</v>
      </c>
      <c r="E5" s="111"/>
      <c r="F5" s="111"/>
      <c r="G5" s="111"/>
      <c r="H5" s="15"/>
      <c r="I5" s="16"/>
      <c r="J5" s="16"/>
      <c r="K5" s="110" t="s">
        <v>3</v>
      </c>
      <c r="L5" s="110"/>
      <c r="M5" s="111" t="s">
        <v>45</v>
      </c>
      <c r="N5" s="111"/>
    </row>
    <row r="6" spans="2:26" s="1" customFormat="1" ht="20.25" customHeight="1" x14ac:dyDescent="0.25">
      <c r="B6" s="110" t="s">
        <v>4</v>
      </c>
      <c r="C6" s="110"/>
      <c r="D6" s="111" t="s">
        <v>44</v>
      </c>
      <c r="E6" s="111"/>
      <c r="F6" s="111"/>
      <c r="G6" s="111"/>
      <c r="H6" s="15"/>
      <c r="I6" s="12"/>
      <c r="J6" s="12"/>
      <c r="K6" s="110" t="s">
        <v>5</v>
      </c>
      <c r="L6" s="110"/>
      <c r="M6" s="111" t="s">
        <v>54</v>
      </c>
      <c r="N6" s="111"/>
    </row>
    <row r="7" spans="2:26" ht="21" customHeight="1" thickBot="1" x14ac:dyDescent="0.25">
      <c r="C7" s="18"/>
      <c r="D7" s="18"/>
      <c r="E7" s="18"/>
    </row>
    <row r="8" spans="2:26" s="22" customFormat="1" ht="15.75" customHeight="1" thickBot="1" x14ac:dyDescent="0.25">
      <c r="B8" s="112" t="s">
        <v>6</v>
      </c>
      <c r="C8" s="113"/>
      <c r="D8" s="113"/>
      <c r="E8" s="113"/>
      <c r="F8" s="113"/>
      <c r="G8" s="113"/>
      <c r="H8" s="23" t="s">
        <v>7</v>
      </c>
      <c r="I8" s="117" t="s">
        <v>8</v>
      </c>
      <c r="J8" s="117"/>
      <c r="K8" s="117"/>
      <c r="L8" s="118"/>
      <c r="M8" s="119" t="s">
        <v>9</v>
      </c>
      <c r="N8" s="118"/>
    </row>
    <row r="9" spans="2:26" s="22" customFormat="1" ht="15.75" customHeight="1" x14ac:dyDescent="0.25">
      <c r="B9" s="24"/>
      <c r="C9" s="25"/>
      <c r="D9" s="25"/>
      <c r="E9" s="25"/>
      <c r="F9" s="25"/>
      <c r="G9" s="26"/>
      <c r="H9" s="27"/>
      <c r="I9" s="28"/>
      <c r="J9" s="28"/>
      <c r="K9" s="28"/>
      <c r="L9" s="29"/>
      <c r="M9" s="30" t="s">
        <v>10</v>
      </c>
      <c r="N9" s="31" t="s">
        <v>11</v>
      </c>
    </row>
    <row r="10" spans="2:26" s="22" customFormat="1" ht="15.75" customHeight="1" thickBot="1" x14ac:dyDescent="0.3">
      <c r="B10" s="32" t="s">
        <v>12</v>
      </c>
      <c r="C10" s="33" t="s">
        <v>13</v>
      </c>
      <c r="D10" s="34" t="s">
        <v>47</v>
      </c>
      <c r="E10" s="33" t="s">
        <v>14</v>
      </c>
      <c r="F10" s="33" t="s">
        <v>15</v>
      </c>
      <c r="G10" s="33" t="s">
        <v>16</v>
      </c>
      <c r="H10" s="35" t="s">
        <v>17</v>
      </c>
      <c r="I10" s="36" t="s">
        <v>18</v>
      </c>
      <c r="J10" s="36" t="s">
        <v>19</v>
      </c>
      <c r="K10" s="36" t="s">
        <v>20</v>
      </c>
      <c r="L10" s="37" t="s">
        <v>21</v>
      </c>
      <c r="M10" s="38" t="s">
        <v>22</v>
      </c>
      <c r="N10" s="39" t="s">
        <v>23</v>
      </c>
    </row>
    <row r="11" spans="2:26" s="22" customFormat="1" ht="15.75" customHeight="1" x14ac:dyDescent="0.2">
      <c r="B11" s="40"/>
      <c r="C11" s="41"/>
      <c r="D11" s="41"/>
      <c r="E11" s="41"/>
      <c r="F11" s="41"/>
      <c r="G11" s="42"/>
      <c r="H11" s="43"/>
      <c r="I11" s="44"/>
      <c r="J11" s="45"/>
      <c r="K11" s="46"/>
      <c r="L11" s="47"/>
      <c r="M11" s="48"/>
      <c r="N11" s="49"/>
      <c r="R11" s="50"/>
    </row>
    <row r="12" spans="2:26" s="22" customFormat="1" ht="15.75" customHeight="1" x14ac:dyDescent="0.2">
      <c r="B12" s="51">
        <f>Summary!B12</f>
        <v>46023</v>
      </c>
      <c r="C12" s="52">
        <v>197</v>
      </c>
      <c r="D12" s="52">
        <v>70</v>
      </c>
      <c r="E12" s="52">
        <v>57</v>
      </c>
      <c r="F12" s="52">
        <v>78</v>
      </c>
      <c r="G12" s="53">
        <f>SUM(C12:F12)</f>
        <v>402</v>
      </c>
      <c r="H12" s="54">
        <f>(C12*$E$29)+(D12*$E$30)+(E12*$E$31)+(F12*$E$32)</f>
        <v>1708.5</v>
      </c>
      <c r="I12" s="55">
        <f>(C12*C$29)+(D12*C$30)+(E12*$C$31)+(F12*$C$32)</f>
        <v>26238.89</v>
      </c>
      <c r="J12" s="21">
        <f>34339.8+3816.25</f>
        <v>38156.050000000003</v>
      </c>
      <c r="K12" s="21">
        <f>22258.64+3816.25</f>
        <v>26074.89</v>
      </c>
      <c r="L12" s="53">
        <v>90</v>
      </c>
      <c r="M12" s="55">
        <f>I12-K12</f>
        <v>164</v>
      </c>
      <c r="N12" s="56">
        <f>K12/I12</f>
        <v>0.99374973560238256</v>
      </c>
      <c r="Q12" s="50"/>
      <c r="R12" s="50"/>
    </row>
    <row r="13" spans="2:26" s="22" customFormat="1" ht="15.75" customHeight="1" x14ac:dyDescent="0.2">
      <c r="B13" s="51">
        <f>Summary!B13</f>
        <v>46054</v>
      </c>
      <c r="C13" s="52">
        <v>193</v>
      </c>
      <c r="D13" s="52">
        <v>69</v>
      </c>
      <c r="E13" s="52">
        <v>56</v>
      </c>
      <c r="F13" s="52">
        <v>78</v>
      </c>
      <c r="G13" s="53">
        <f t="shared" ref="G13:G23" si="0">SUM(C13:F13)</f>
        <v>396</v>
      </c>
      <c r="H13" s="54">
        <f t="shared" ref="H13:H23" si="1">(C13*$E$29)+(D13*$E$30)+(E13*$E$31)+(F13*$E$32)</f>
        <v>1683</v>
      </c>
      <c r="I13" s="55">
        <f t="shared" ref="I13:I23" si="2">(C13*C$29)+(D13*C$30)+(E13*$C$31)+(F13*$C$32)</f>
        <v>25942.73</v>
      </c>
      <c r="J13" s="21">
        <v>12502.5</v>
      </c>
      <c r="K13" s="21">
        <v>5857.69</v>
      </c>
      <c r="L13" s="53">
        <v>19</v>
      </c>
      <c r="M13" s="55">
        <f t="shared" ref="M13:M23" si="3">I13-K13</f>
        <v>20085.04</v>
      </c>
      <c r="N13" s="56">
        <f t="shared" ref="N13:N17" si="4">K13/I13</f>
        <v>0.22579312200373669</v>
      </c>
      <c r="Q13" s="57"/>
      <c r="R13" s="50"/>
    </row>
    <row r="14" spans="2:26" s="22" customFormat="1" ht="15.75" customHeight="1" x14ac:dyDescent="0.2">
      <c r="B14" s="51">
        <f>Summary!B14</f>
        <v>46082</v>
      </c>
      <c r="C14" s="52">
        <v>193</v>
      </c>
      <c r="D14" s="52">
        <v>70</v>
      </c>
      <c r="E14" s="52">
        <v>56</v>
      </c>
      <c r="F14" s="52">
        <v>78</v>
      </c>
      <c r="G14" s="53">
        <f t="shared" si="0"/>
        <v>397</v>
      </c>
      <c r="H14" s="54">
        <f t="shared" si="1"/>
        <v>1687.25</v>
      </c>
      <c r="I14" s="55">
        <f t="shared" si="2"/>
        <v>26016.06</v>
      </c>
      <c r="J14" s="21">
        <v>135928.82</v>
      </c>
      <c r="K14" s="21">
        <v>69760.95</v>
      </c>
      <c r="L14" s="53">
        <v>262</v>
      </c>
      <c r="M14" s="55">
        <f t="shared" si="3"/>
        <v>-43744.89</v>
      </c>
      <c r="N14" s="56">
        <f t="shared" si="4"/>
        <v>2.6814571460859176</v>
      </c>
      <c r="Q14" s="57"/>
      <c r="R14" s="50"/>
    </row>
    <row r="15" spans="2:26" s="22" customFormat="1" ht="15.75" customHeight="1" x14ac:dyDescent="0.2">
      <c r="B15" s="51">
        <f>Summary!B15</f>
        <v>46113</v>
      </c>
      <c r="C15" s="52">
        <v>176</v>
      </c>
      <c r="D15" s="52">
        <v>66</v>
      </c>
      <c r="E15" s="52">
        <v>49</v>
      </c>
      <c r="F15" s="52">
        <v>74</v>
      </c>
      <c r="G15" s="53">
        <f t="shared" si="0"/>
        <v>365</v>
      </c>
      <c r="H15" s="54">
        <f t="shared" si="1"/>
        <v>1551.25</v>
      </c>
      <c r="I15" s="55">
        <f t="shared" si="2"/>
        <v>24075.97</v>
      </c>
      <c r="J15" s="21">
        <v>131489.25</v>
      </c>
      <c r="K15" s="21">
        <v>52473.14</v>
      </c>
      <c r="L15" s="53">
        <v>228</v>
      </c>
      <c r="M15" s="55">
        <f t="shared" si="3"/>
        <v>-28397.17</v>
      </c>
      <c r="N15" s="56">
        <f t="shared" si="4"/>
        <v>2.1794818651128072</v>
      </c>
      <c r="Q15" s="57"/>
      <c r="R15" s="50"/>
    </row>
    <row r="16" spans="2:26" s="22" customFormat="1" ht="15.75" customHeight="1" x14ac:dyDescent="0.2">
      <c r="B16" s="51">
        <f>Summary!B16</f>
        <v>46143</v>
      </c>
      <c r="C16" s="52">
        <v>176</v>
      </c>
      <c r="D16" s="52">
        <v>64</v>
      </c>
      <c r="E16" s="52">
        <v>46</v>
      </c>
      <c r="F16" s="52">
        <v>74</v>
      </c>
      <c r="G16" s="53">
        <f t="shared" si="0"/>
        <v>360</v>
      </c>
      <c r="H16" s="54">
        <f t="shared" si="1"/>
        <v>1530</v>
      </c>
      <c r="I16" s="55">
        <f t="shared" si="2"/>
        <v>23699.54</v>
      </c>
      <c r="J16" s="21">
        <v>47387.13</v>
      </c>
      <c r="K16" s="21">
        <v>26518.98</v>
      </c>
      <c r="L16" s="53">
        <v>99</v>
      </c>
      <c r="M16" s="55">
        <f t="shared" si="3"/>
        <v>-2819.4399999999987</v>
      </c>
      <c r="N16" s="56">
        <f t="shared" si="4"/>
        <v>1.1189660221253239</v>
      </c>
      <c r="Q16" s="57"/>
      <c r="R16" s="50"/>
    </row>
    <row r="17" spans="2:18" s="22" customFormat="1" ht="15.75" customHeight="1" x14ac:dyDescent="0.2">
      <c r="B17" s="51">
        <f>Summary!B17</f>
        <v>46174</v>
      </c>
      <c r="C17" s="52">
        <v>170</v>
      </c>
      <c r="D17" s="52">
        <v>63</v>
      </c>
      <c r="E17" s="52">
        <v>46</v>
      </c>
      <c r="F17" s="52">
        <v>71</v>
      </c>
      <c r="G17" s="53">
        <f t="shared" si="0"/>
        <v>350</v>
      </c>
      <c r="H17" s="54">
        <f t="shared" si="1"/>
        <v>1487.5</v>
      </c>
      <c r="I17" s="55">
        <f t="shared" si="2"/>
        <v>23040.010000000002</v>
      </c>
      <c r="J17" s="21">
        <v>36876</v>
      </c>
      <c r="K17" s="21">
        <v>16700.150000000001</v>
      </c>
      <c r="L17" s="53">
        <v>63</v>
      </c>
      <c r="M17" s="55">
        <f t="shared" si="3"/>
        <v>6339.8600000000006</v>
      </c>
      <c r="N17" s="56">
        <f t="shared" si="4"/>
        <v>0.72483258470807954</v>
      </c>
      <c r="Q17" s="57"/>
      <c r="R17" s="50"/>
    </row>
    <row r="18" spans="2:18" s="22" customFormat="1" ht="15.75" customHeight="1" x14ac:dyDescent="0.2">
      <c r="B18" s="51">
        <f>Summary!B18</f>
        <v>46204</v>
      </c>
      <c r="C18" s="52"/>
      <c r="D18" s="52"/>
      <c r="E18" s="52"/>
      <c r="F18" s="52"/>
      <c r="G18" s="53">
        <f t="shared" si="0"/>
        <v>0</v>
      </c>
      <c r="H18" s="54">
        <f t="shared" si="1"/>
        <v>0</v>
      </c>
      <c r="I18" s="55">
        <f t="shared" si="2"/>
        <v>0</v>
      </c>
      <c r="J18" s="21"/>
      <c r="K18" s="21"/>
      <c r="L18" s="53"/>
      <c r="M18" s="55">
        <f t="shared" si="3"/>
        <v>0</v>
      </c>
      <c r="N18" s="56"/>
      <c r="Q18" s="57"/>
      <c r="R18" s="50"/>
    </row>
    <row r="19" spans="2:18" s="22" customFormat="1" ht="15.75" customHeight="1" x14ac:dyDescent="0.2">
      <c r="B19" s="51">
        <f>Summary!B19</f>
        <v>46235</v>
      </c>
      <c r="C19" s="52"/>
      <c r="D19" s="52"/>
      <c r="E19" s="52"/>
      <c r="F19" s="52"/>
      <c r="G19" s="53">
        <f t="shared" si="0"/>
        <v>0</v>
      </c>
      <c r="H19" s="54">
        <f t="shared" si="1"/>
        <v>0</v>
      </c>
      <c r="I19" s="55">
        <f t="shared" si="2"/>
        <v>0</v>
      </c>
      <c r="J19" s="21"/>
      <c r="K19" s="21"/>
      <c r="L19" s="53"/>
      <c r="M19" s="55">
        <f t="shared" si="3"/>
        <v>0</v>
      </c>
      <c r="N19" s="56"/>
      <c r="Q19" s="57"/>
      <c r="R19" s="50"/>
    </row>
    <row r="20" spans="2:18" s="22" customFormat="1" ht="15.75" customHeight="1" x14ac:dyDescent="0.2">
      <c r="B20" s="51">
        <f>Summary!B20</f>
        <v>46266</v>
      </c>
      <c r="C20" s="52"/>
      <c r="D20" s="52"/>
      <c r="E20" s="52"/>
      <c r="F20" s="52"/>
      <c r="G20" s="53">
        <f t="shared" si="0"/>
        <v>0</v>
      </c>
      <c r="H20" s="54">
        <f t="shared" si="1"/>
        <v>0</v>
      </c>
      <c r="I20" s="55">
        <f t="shared" si="2"/>
        <v>0</v>
      </c>
      <c r="J20" s="21"/>
      <c r="K20" s="21"/>
      <c r="L20" s="53"/>
      <c r="M20" s="55">
        <f t="shared" si="3"/>
        <v>0</v>
      </c>
      <c r="N20" s="56"/>
      <c r="Q20" s="57"/>
      <c r="R20" s="50"/>
    </row>
    <row r="21" spans="2:18" s="22" customFormat="1" ht="15.75" customHeight="1" x14ac:dyDescent="0.2">
      <c r="B21" s="51">
        <f>Summary!B21</f>
        <v>46296</v>
      </c>
      <c r="C21" s="52"/>
      <c r="D21" s="52"/>
      <c r="E21" s="52"/>
      <c r="F21" s="52"/>
      <c r="G21" s="53">
        <f t="shared" si="0"/>
        <v>0</v>
      </c>
      <c r="H21" s="54">
        <f t="shared" si="1"/>
        <v>0</v>
      </c>
      <c r="I21" s="55">
        <f t="shared" si="2"/>
        <v>0</v>
      </c>
      <c r="J21" s="21"/>
      <c r="K21" s="21"/>
      <c r="L21" s="53"/>
      <c r="M21" s="55">
        <f t="shared" si="3"/>
        <v>0</v>
      </c>
      <c r="N21" s="99"/>
      <c r="Q21" s="57"/>
      <c r="R21" s="50"/>
    </row>
    <row r="22" spans="2:18" s="22" customFormat="1" ht="15.75" customHeight="1" x14ac:dyDescent="0.2">
      <c r="B22" s="51">
        <f>Summary!B22</f>
        <v>46327</v>
      </c>
      <c r="C22" s="52"/>
      <c r="D22" s="52"/>
      <c r="E22" s="52"/>
      <c r="F22" s="52"/>
      <c r="G22" s="53">
        <f t="shared" si="0"/>
        <v>0</v>
      </c>
      <c r="H22" s="54">
        <f t="shared" si="1"/>
        <v>0</v>
      </c>
      <c r="I22" s="55">
        <f t="shared" si="2"/>
        <v>0</v>
      </c>
      <c r="J22" s="21"/>
      <c r="K22" s="21"/>
      <c r="L22" s="53"/>
      <c r="M22" s="55">
        <f t="shared" si="3"/>
        <v>0</v>
      </c>
      <c r="N22" s="56"/>
      <c r="Q22" s="57"/>
      <c r="R22" s="50"/>
    </row>
    <row r="23" spans="2:18" s="22" customFormat="1" ht="15.75" customHeight="1" x14ac:dyDescent="0.2">
      <c r="B23" s="51">
        <f>Summary!B23</f>
        <v>46357</v>
      </c>
      <c r="C23" s="52"/>
      <c r="D23" s="52"/>
      <c r="E23" s="52"/>
      <c r="F23" s="52"/>
      <c r="G23" s="53">
        <f t="shared" si="0"/>
        <v>0</v>
      </c>
      <c r="H23" s="54">
        <f t="shared" si="1"/>
        <v>0</v>
      </c>
      <c r="I23" s="55">
        <f t="shared" si="2"/>
        <v>0</v>
      </c>
      <c r="J23" s="21"/>
      <c r="K23" s="21"/>
      <c r="L23" s="53"/>
      <c r="M23" s="55">
        <f t="shared" si="3"/>
        <v>0</v>
      </c>
      <c r="N23" s="56"/>
      <c r="Q23" s="57"/>
      <c r="R23" s="50"/>
    </row>
    <row r="24" spans="2:18" s="22" customFormat="1" ht="15.75" customHeight="1" thickBot="1" x14ac:dyDescent="0.25">
      <c r="B24" s="58"/>
      <c r="C24" s="59"/>
      <c r="D24" s="59"/>
      <c r="E24" s="59"/>
      <c r="F24" s="59"/>
      <c r="G24" s="60"/>
      <c r="H24" s="61"/>
      <c r="I24" s="62"/>
      <c r="J24" s="63"/>
      <c r="K24" s="64"/>
      <c r="L24" s="65"/>
      <c r="M24" s="66"/>
      <c r="N24" s="67"/>
    </row>
    <row r="25" spans="2:18" s="75" customFormat="1" ht="15.75" customHeight="1" thickBot="1" x14ac:dyDescent="0.3">
      <c r="B25" s="68" t="s">
        <v>24</v>
      </c>
      <c r="C25" s="69">
        <f>AVERAGEIF(C12:C23,"&gt;0")</f>
        <v>184.16666666666666</v>
      </c>
      <c r="D25" s="69">
        <f>AVERAGEIF(D12:D23,"&gt;0")</f>
        <v>67</v>
      </c>
      <c r="E25" s="69">
        <f>AVERAGEIF(E12:E23,"&gt;0")</f>
        <v>51.666666666666664</v>
      </c>
      <c r="F25" s="69">
        <f>AVERAGEIF(F12:F23,"&gt;0")</f>
        <v>75.5</v>
      </c>
      <c r="G25" s="69">
        <f>AVERAGEIF(G12:G23,"&gt;0")</f>
        <v>378.33333333333331</v>
      </c>
      <c r="H25" s="70">
        <f>SUM(H11:H23)</f>
        <v>9647.5</v>
      </c>
      <c r="I25" s="70">
        <f>SUM(I11:I23)</f>
        <v>149013.20000000001</v>
      </c>
      <c r="J25" s="71">
        <f>SUM(J11:J23)</f>
        <v>402339.75</v>
      </c>
      <c r="K25" s="72">
        <f>SUM(K11:K23)</f>
        <v>197385.8</v>
      </c>
      <c r="L25" s="73">
        <f>SUM(L12:L23)</f>
        <v>761</v>
      </c>
      <c r="M25" s="70">
        <f>SUM(M12:M23)</f>
        <v>-48372.599999999991</v>
      </c>
      <c r="N25" s="74">
        <f>K25/I25</f>
        <v>1.3246195639044056</v>
      </c>
    </row>
    <row r="26" spans="2:18" s="22" customFormat="1" ht="15.75" customHeight="1" x14ac:dyDescent="0.2">
      <c r="J26" s="76"/>
      <c r="L26" s="77"/>
    </row>
    <row r="27" spans="2:18" s="22" customFormat="1" ht="15.75" customHeight="1" x14ac:dyDescent="0.25">
      <c r="B27" s="141" t="s">
        <v>25</v>
      </c>
      <c r="C27" s="142"/>
      <c r="D27" s="142"/>
      <c r="E27" s="142"/>
      <c r="F27" s="142"/>
      <c r="G27" s="143"/>
      <c r="H27" s="78"/>
      <c r="J27" s="126" t="s">
        <v>26</v>
      </c>
      <c r="K27" s="127"/>
      <c r="L27" s="127"/>
      <c r="M27" s="127"/>
      <c r="N27" s="128"/>
    </row>
    <row r="28" spans="2:18" s="22" customFormat="1" ht="15.75" customHeight="1" x14ac:dyDescent="0.2">
      <c r="B28" s="79"/>
      <c r="C28" s="127" t="s">
        <v>27</v>
      </c>
      <c r="D28" s="128"/>
      <c r="E28" s="144" t="s">
        <v>28</v>
      </c>
      <c r="F28" s="128"/>
      <c r="G28" s="80" t="s">
        <v>16</v>
      </c>
      <c r="H28" s="76"/>
      <c r="J28" s="123" t="s">
        <v>29</v>
      </c>
      <c r="K28" s="124"/>
      <c r="L28" s="124"/>
      <c r="M28" s="125"/>
      <c r="N28" s="81">
        <f>J25/L25</f>
        <v>528.69875164257553</v>
      </c>
    </row>
    <row r="29" spans="2:18" s="22" customFormat="1" ht="15.75" customHeight="1" x14ac:dyDescent="0.2">
      <c r="B29" s="82" t="s">
        <v>30</v>
      </c>
      <c r="C29" s="145">
        <v>36.56</v>
      </c>
      <c r="D29" s="146" t="s">
        <v>50</v>
      </c>
      <c r="E29" s="147">
        <v>4.25</v>
      </c>
      <c r="F29" s="146" t="s">
        <v>50</v>
      </c>
      <c r="G29" s="83">
        <f>C29+E29</f>
        <v>40.81</v>
      </c>
      <c r="H29" s="84"/>
      <c r="J29" s="123" t="s">
        <v>31</v>
      </c>
      <c r="K29" s="124"/>
      <c r="L29" s="124"/>
      <c r="M29" s="125"/>
      <c r="N29" s="81">
        <f>K25/L25</f>
        <v>259.37687253613666</v>
      </c>
    </row>
    <row r="30" spans="2:18" s="22" customFormat="1" ht="15.75" customHeight="1" x14ac:dyDescent="0.2">
      <c r="B30" s="85" t="str">
        <f>IF(D10="E+1","EE &amp; One","EE &amp; Spouse")</f>
        <v>EE &amp; Spouse</v>
      </c>
      <c r="C30" s="145">
        <v>73.33</v>
      </c>
      <c r="D30" s="146" t="s">
        <v>50</v>
      </c>
      <c r="E30" s="147">
        <v>4.25</v>
      </c>
      <c r="F30" s="146" t="s">
        <v>50</v>
      </c>
      <c r="G30" s="83">
        <f>C30+E30</f>
        <v>77.58</v>
      </c>
      <c r="H30" s="84"/>
      <c r="J30" s="123" t="s">
        <v>32</v>
      </c>
      <c r="K30" s="124"/>
      <c r="L30" s="124"/>
      <c r="M30" s="125"/>
      <c r="N30" s="86">
        <f>((L25/COUNTIF(G12:G23,"&gt;0"))*12)/G25</f>
        <v>4.0229074889867844</v>
      </c>
    </row>
    <row r="31" spans="2:18" s="22" customFormat="1" ht="15.75" customHeight="1" x14ac:dyDescent="0.2">
      <c r="B31" s="82" t="s">
        <v>33</v>
      </c>
      <c r="C31" s="145">
        <v>76.59</v>
      </c>
      <c r="D31" s="146" t="s">
        <v>50</v>
      </c>
      <c r="E31" s="147">
        <v>4.25</v>
      </c>
      <c r="F31" s="146" t="s">
        <v>50</v>
      </c>
      <c r="G31" s="83">
        <f>C31+E31</f>
        <v>80.84</v>
      </c>
      <c r="H31" s="84"/>
      <c r="J31" s="123" t="s">
        <v>34</v>
      </c>
      <c r="K31" s="124"/>
      <c r="L31" s="124"/>
      <c r="M31" s="125"/>
      <c r="N31" s="87">
        <f>K25/J25</f>
        <v>0.49059482688449252</v>
      </c>
    </row>
    <row r="32" spans="2:18" s="22" customFormat="1" ht="15.75" customHeight="1" x14ac:dyDescent="0.2">
      <c r="B32" s="82" t="s">
        <v>35</v>
      </c>
      <c r="C32" s="145">
        <v>122.28</v>
      </c>
      <c r="D32" s="146" t="s">
        <v>50</v>
      </c>
      <c r="E32" s="147">
        <v>4.25</v>
      </c>
      <c r="F32" s="146" t="s">
        <v>50</v>
      </c>
      <c r="G32" s="83">
        <f>C32+E32</f>
        <v>126.53</v>
      </c>
      <c r="H32" s="84"/>
      <c r="J32" s="123" t="s">
        <v>36</v>
      </c>
      <c r="K32" s="124"/>
      <c r="L32" s="124"/>
      <c r="M32" s="125"/>
      <c r="N32" s="81">
        <f>K25/G25/(COUNTIF(G12:G23,"&gt;0"))</f>
        <v>86.954096916299548</v>
      </c>
    </row>
    <row r="33" spans="2:14" s="22" customFormat="1" ht="15.75" customHeight="1" x14ac:dyDescent="0.2">
      <c r="C33" s="84"/>
      <c r="D33" s="84"/>
      <c r="E33" s="84"/>
      <c r="F33" s="88"/>
      <c r="G33" s="84"/>
      <c r="H33" s="84"/>
      <c r="J33" s="89"/>
      <c r="K33" s="89"/>
      <c r="L33" s="89"/>
      <c r="M33" s="89"/>
      <c r="N33" s="90"/>
    </row>
    <row r="34" spans="2:14" s="22" customFormat="1" ht="15.75" customHeight="1" thickBot="1" x14ac:dyDescent="0.25">
      <c r="J34" s="76"/>
      <c r="L34" s="77"/>
    </row>
    <row r="35" spans="2:14" s="22" customFormat="1" ht="15.75" customHeight="1" thickBot="1" x14ac:dyDescent="0.3">
      <c r="B35" s="163" t="s">
        <v>37</v>
      </c>
      <c r="C35" s="163"/>
      <c r="D35" s="163"/>
      <c r="E35" s="163"/>
      <c r="F35" s="163"/>
      <c r="G35" s="163"/>
      <c r="H35" s="78"/>
      <c r="J35" s="138" t="s">
        <v>41</v>
      </c>
      <c r="K35" s="139"/>
      <c r="L35" s="139"/>
      <c r="M35" s="139"/>
      <c r="N35" s="140"/>
    </row>
    <row r="36" spans="2:14" s="22" customFormat="1" ht="15.75" customHeight="1" x14ac:dyDescent="0.2">
      <c r="B36" s="164" t="s">
        <v>60</v>
      </c>
      <c r="C36" s="165"/>
      <c r="D36" s="165"/>
      <c r="E36" s="165"/>
      <c r="F36" s="165"/>
      <c r="G36" s="166"/>
      <c r="H36" s="91"/>
      <c r="J36" s="120" t="s">
        <v>29</v>
      </c>
      <c r="K36" s="121"/>
      <c r="L36" s="121"/>
      <c r="M36" s="122"/>
      <c r="N36" s="100">
        <v>437.65</v>
      </c>
    </row>
    <row r="37" spans="2:14" s="22" customFormat="1" ht="15.75" customHeight="1" x14ac:dyDescent="0.2">
      <c r="B37" s="157" t="s">
        <v>59</v>
      </c>
      <c r="C37" s="158"/>
      <c r="D37" s="158"/>
      <c r="E37" s="158"/>
      <c r="F37" s="158"/>
      <c r="G37" s="159"/>
      <c r="H37" s="91"/>
      <c r="J37" s="120" t="s">
        <v>31</v>
      </c>
      <c r="K37" s="121"/>
      <c r="L37" s="121"/>
      <c r="M37" s="122"/>
      <c r="N37" s="100">
        <v>283.31</v>
      </c>
    </row>
    <row r="38" spans="2:14" s="22" customFormat="1" ht="15.75" customHeight="1" x14ac:dyDescent="0.2">
      <c r="B38" s="157" t="s">
        <v>55</v>
      </c>
      <c r="C38" s="158"/>
      <c r="D38" s="158"/>
      <c r="E38" s="158"/>
      <c r="F38" s="158"/>
      <c r="G38" s="159"/>
      <c r="H38" s="91"/>
      <c r="J38" s="120" t="s">
        <v>32</v>
      </c>
      <c r="K38" s="121"/>
      <c r="L38" s="121"/>
      <c r="M38" s="122"/>
      <c r="N38" s="101">
        <v>2.95</v>
      </c>
    </row>
    <row r="39" spans="2:14" s="22" customFormat="1" ht="15.75" customHeight="1" x14ac:dyDescent="0.2">
      <c r="B39" s="157" t="s">
        <v>56</v>
      </c>
      <c r="C39" s="158"/>
      <c r="D39" s="158"/>
      <c r="E39" s="158"/>
      <c r="F39" s="158"/>
      <c r="G39" s="159"/>
      <c r="H39" s="91"/>
      <c r="J39" s="120" t="s">
        <v>34</v>
      </c>
      <c r="K39" s="121"/>
      <c r="L39" s="121"/>
      <c r="M39" s="122"/>
      <c r="N39" s="102">
        <v>0.64739999999999998</v>
      </c>
    </row>
    <row r="40" spans="2:14" s="22" customFormat="1" ht="15.75" thickBot="1" x14ac:dyDescent="0.25">
      <c r="B40" s="160" t="s">
        <v>39</v>
      </c>
      <c r="C40" s="161"/>
      <c r="D40" s="161"/>
      <c r="E40" s="161"/>
      <c r="F40" s="161"/>
      <c r="G40" s="162"/>
      <c r="H40" s="91"/>
      <c r="J40" s="120" t="s">
        <v>36</v>
      </c>
      <c r="K40" s="121"/>
      <c r="L40" s="121"/>
      <c r="M40" s="122"/>
      <c r="N40" s="100">
        <v>69.59</v>
      </c>
    </row>
    <row r="41" spans="2:14" s="22" customFormat="1" ht="15.75" x14ac:dyDescent="0.25">
      <c r="J41" s="114" t="s">
        <v>42</v>
      </c>
      <c r="K41" s="115"/>
      <c r="L41" s="115"/>
      <c r="M41" s="116"/>
      <c r="N41" s="100">
        <v>-5214.8100000000004</v>
      </c>
    </row>
    <row r="42" spans="2:14" s="22" customFormat="1" ht="10.15" customHeight="1" x14ac:dyDescent="0.2">
      <c r="J42" s="76"/>
      <c r="L42" s="77"/>
    </row>
    <row r="43" spans="2:14" s="22" customFormat="1" ht="10.15" customHeight="1" x14ac:dyDescent="0.2">
      <c r="B43" s="129" t="s">
        <v>49</v>
      </c>
      <c r="C43" s="130"/>
      <c r="D43" s="130"/>
      <c r="E43" s="130"/>
      <c r="F43" s="130"/>
      <c r="G43" s="130"/>
      <c r="H43" s="130"/>
      <c r="I43" s="130"/>
      <c r="J43" s="130"/>
      <c r="K43" s="130"/>
      <c r="L43" s="130"/>
      <c r="M43" s="130"/>
      <c r="N43" s="131"/>
    </row>
    <row r="44" spans="2:14" s="22" customFormat="1" ht="10.15" customHeight="1" x14ac:dyDescent="0.2">
      <c r="B44" s="132"/>
      <c r="C44" s="133"/>
      <c r="D44" s="133"/>
      <c r="E44" s="133"/>
      <c r="F44" s="133"/>
      <c r="G44" s="133"/>
      <c r="H44" s="133"/>
      <c r="I44" s="133"/>
      <c r="J44" s="133"/>
      <c r="K44" s="133"/>
      <c r="L44" s="133"/>
      <c r="M44" s="133"/>
      <c r="N44" s="134"/>
    </row>
    <row r="45" spans="2:14" s="22" customFormat="1" ht="10.15" customHeight="1" x14ac:dyDescent="0.2">
      <c r="B45" s="132"/>
      <c r="C45" s="133"/>
      <c r="D45" s="133"/>
      <c r="E45" s="133"/>
      <c r="F45" s="133"/>
      <c r="G45" s="133"/>
      <c r="H45" s="133"/>
      <c r="I45" s="133"/>
      <c r="J45" s="133"/>
      <c r="K45" s="133"/>
      <c r="L45" s="133"/>
      <c r="M45" s="133"/>
      <c r="N45" s="134"/>
    </row>
    <row r="46" spans="2:14" s="22" customFormat="1" ht="10.15" customHeight="1" x14ac:dyDescent="0.2">
      <c r="B46" s="132"/>
      <c r="C46" s="133"/>
      <c r="D46" s="133"/>
      <c r="E46" s="133"/>
      <c r="F46" s="133"/>
      <c r="G46" s="133"/>
      <c r="H46" s="133"/>
      <c r="I46" s="133"/>
      <c r="J46" s="133"/>
      <c r="K46" s="133"/>
      <c r="L46" s="133"/>
      <c r="M46" s="133"/>
      <c r="N46" s="134"/>
    </row>
    <row r="47" spans="2:14" s="22" customFormat="1" ht="10.15" customHeight="1" x14ac:dyDescent="0.2">
      <c r="B47" s="132"/>
      <c r="C47" s="133"/>
      <c r="D47" s="133"/>
      <c r="E47" s="133"/>
      <c r="F47" s="133"/>
      <c r="G47" s="133"/>
      <c r="H47" s="133"/>
      <c r="I47" s="133"/>
      <c r="J47" s="133"/>
      <c r="K47" s="133"/>
      <c r="L47" s="133"/>
      <c r="M47" s="133"/>
      <c r="N47" s="134"/>
    </row>
    <row r="48" spans="2:14" s="22" customFormat="1" ht="10.15" customHeight="1" x14ac:dyDescent="0.2">
      <c r="B48" s="132"/>
      <c r="C48" s="133"/>
      <c r="D48" s="133"/>
      <c r="E48" s="133"/>
      <c r="F48" s="133"/>
      <c r="G48" s="133"/>
      <c r="H48" s="133"/>
      <c r="I48" s="133"/>
      <c r="J48" s="133"/>
      <c r="K48" s="133"/>
      <c r="L48" s="133"/>
      <c r="M48" s="133"/>
      <c r="N48" s="134"/>
    </row>
    <row r="49" spans="2:14" s="22" customFormat="1" ht="10.15" customHeight="1" x14ac:dyDescent="0.2">
      <c r="B49" s="135"/>
      <c r="C49" s="136"/>
      <c r="D49" s="136"/>
      <c r="E49" s="136"/>
      <c r="F49" s="136"/>
      <c r="G49" s="136"/>
      <c r="H49" s="136"/>
      <c r="I49" s="136"/>
      <c r="J49" s="136"/>
      <c r="K49" s="136"/>
      <c r="L49" s="136"/>
      <c r="M49" s="136"/>
      <c r="N49" s="137"/>
    </row>
    <row r="50" spans="2:14" s="22" customFormat="1" ht="10.15" customHeight="1" x14ac:dyDescent="0.2">
      <c r="J50" s="76"/>
      <c r="L50" s="77"/>
    </row>
    <row r="51" spans="2:14" s="22" customFormat="1" ht="10.15" customHeight="1" x14ac:dyDescent="0.2">
      <c r="J51" s="76"/>
      <c r="L51" s="77"/>
    </row>
  </sheetData>
  <mergeCells count="44">
    <mergeCell ref="J41:M41"/>
    <mergeCell ref="B43:N49"/>
    <mergeCell ref="J35:N35"/>
    <mergeCell ref="J36:M36"/>
    <mergeCell ref="J37:M37"/>
    <mergeCell ref="J38:M38"/>
    <mergeCell ref="J39:M39"/>
    <mergeCell ref="J40:M40"/>
    <mergeCell ref="B37:G37"/>
    <mergeCell ref="B38:G38"/>
    <mergeCell ref="B40:G40"/>
    <mergeCell ref="B35:G35"/>
    <mergeCell ref="B36:G36"/>
    <mergeCell ref="B39:G39"/>
    <mergeCell ref="B1:N1"/>
    <mergeCell ref="B2:N2"/>
    <mergeCell ref="B5:C5"/>
    <mergeCell ref="D5:G5"/>
    <mergeCell ref="K5:L5"/>
    <mergeCell ref="M5:N5"/>
    <mergeCell ref="B6:C6"/>
    <mergeCell ref="D6:G6"/>
    <mergeCell ref="K6:L6"/>
    <mergeCell ref="M6:N6"/>
    <mergeCell ref="B8:G8"/>
    <mergeCell ref="I8:L8"/>
    <mergeCell ref="M8:N8"/>
    <mergeCell ref="J32:M32"/>
    <mergeCell ref="C29:D29"/>
    <mergeCell ref="E29:F29"/>
    <mergeCell ref="J29:M29"/>
    <mergeCell ref="C30:D30"/>
    <mergeCell ref="E30:F30"/>
    <mergeCell ref="J30:M30"/>
    <mergeCell ref="C31:D31"/>
    <mergeCell ref="E31:F31"/>
    <mergeCell ref="J31:M31"/>
    <mergeCell ref="C32:D32"/>
    <mergeCell ref="E32:F32"/>
    <mergeCell ref="B27:G27"/>
    <mergeCell ref="J27:N27"/>
    <mergeCell ref="C28:D28"/>
    <mergeCell ref="E28:F28"/>
    <mergeCell ref="J28:M28"/>
  </mergeCells>
  <phoneticPr fontId="0" type="noConversion"/>
  <pageMargins left="0.7" right="0.7" top="0.75" bottom="0.75" header="0.3" footer="0.3"/>
  <pageSetup scale="6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STANDARD</vt:lpstr>
      <vt:lpstr>PREMIUM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2026-07-01T18:08:49Z</cp:lastPrinted>
  <dcterms:created xsi:type="dcterms:W3CDTF">2010-01-16T14:52:12Z</dcterms:created>
  <dcterms:modified xsi:type="dcterms:W3CDTF">2026-07-01T18:08:58Z</dcterms:modified>
</cp:coreProperties>
</file>