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5E76F9A5-101F-4C1B-AACE-D36BC35B8F36}" xr6:coauthVersionLast="47" xr6:coauthVersionMax="47" xr10:uidLastSave="{00000000-0000-0000-0000-000000000000}"/>
  <bookViews>
    <workbookView xWindow="-105" yWindow="0" windowWidth="26010" windowHeight="20985" xr2:uid="{00000000-000D-0000-FFFF-FFFF00000000}"/>
  </bookViews>
  <sheets>
    <sheet name="Summary" sheetId="4" r:id="rId1"/>
    <sheet name="Dental" sheetId="1" r:id="rId2"/>
    <sheet name="Dental-Vision"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16" i="4" l="1"/>
  <c r="L17" i="4"/>
  <c r="N17" i="2"/>
  <c r="N17" i="1"/>
  <c r="N16" i="4"/>
  <c r="N16" i="2"/>
  <c r="N16" i="1"/>
  <c r="N13" i="2"/>
  <c r="N14" i="2"/>
  <c r="N15" i="2"/>
  <c r="N12" i="2"/>
  <c r="M13" i="2"/>
  <c r="M14" i="2"/>
  <c r="M15" i="2"/>
  <c r="M18" i="2"/>
  <c r="M19" i="2"/>
  <c r="M20" i="2"/>
  <c r="M21" i="2"/>
  <c r="M22" i="2"/>
  <c r="M23" i="2"/>
  <c r="M12" i="2"/>
  <c r="N13" i="1"/>
  <c r="N14" i="1"/>
  <c r="N15" i="1"/>
  <c r="N12" i="1"/>
  <c r="M13" i="1"/>
  <c r="M14" i="1"/>
  <c r="M15" i="1"/>
  <c r="M18" i="1"/>
  <c r="M19" i="1"/>
  <c r="M20" i="1"/>
  <c r="M21" i="1"/>
  <c r="M22" i="1"/>
  <c r="M23" i="1"/>
  <c r="M12" i="1"/>
  <c r="N13" i="4"/>
  <c r="N14" i="4"/>
  <c r="N15" i="4"/>
  <c r="N12" i="4"/>
  <c r="L15" i="4"/>
  <c r="D14" i="2"/>
  <c r="D14" i="1"/>
  <c r="H13" i="4"/>
  <c r="D13" i="2"/>
  <c r="D13" i="1"/>
  <c r="F12" i="2"/>
  <c r="I12" i="2" s="1"/>
  <c r="D12" i="2"/>
  <c r="C12" i="2"/>
  <c r="D12" i="1"/>
  <c r="K22" i="4"/>
  <c r="K23" i="4"/>
  <c r="B23" i="2" l="1"/>
  <c r="F13" i="4" l="1"/>
  <c r="F14" i="4"/>
  <c r="F15" i="4"/>
  <c r="F16" i="4"/>
  <c r="F17" i="4"/>
  <c r="F18" i="4"/>
  <c r="F19" i="4"/>
  <c r="F20" i="4"/>
  <c r="F21" i="4"/>
  <c r="F22" i="4"/>
  <c r="F23" i="4"/>
  <c r="D13" i="4"/>
  <c r="D14" i="4"/>
  <c r="D15" i="4"/>
  <c r="D17" i="4"/>
  <c r="D18" i="4"/>
  <c r="D19" i="4"/>
  <c r="D20" i="4"/>
  <c r="D21" i="4"/>
  <c r="D22" i="4"/>
  <c r="D23" i="4"/>
  <c r="C13" i="4"/>
  <c r="C14" i="4"/>
  <c r="C15" i="4"/>
  <c r="C16" i="4"/>
  <c r="C17" i="4"/>
  <c r="C18" i="4"/>
  <c r="C19" i="4"/>
  <c r="C20" i="4"/>
  <c r="C21" i="4"/>
  <c r="C22" i="4"/>
  <c r="C23" i="4"/>
  <c r="F12" i="4" l="1"/>
  <c r="D12" i="4"/>
  <c r="C12" i="4"/>
  <c r="B13" i="1" l="1"/>
  <c r="B14" i="1"/>
  <c r="B15" i="1"/>
  <c r="B16" i="1"/>
  <c r="B17" i="1"/>
  <c r="B18" i="1"/>
  <c r="B19" i="1"/>
  <c r="B20" i="1"/>
  <c r="B21" i="1"/>
  <c r="B22" i="1"/>
  <c r="B23" i="1"/>
  <c r="B13" i="2" l="1"/>
  <c r="B14" i="2"/>
  <c r="B15" i="2"/>
  <c r="B16" i="2"/>
  <c r="B17" i="2"/>
  <c r="B18" i="2"/>
  <c r="B19" i="2"/>
  <c r="B20" i="2"/>
  <c r="B21" i="2"/>
  <c r="B22" i="2"/>
  <c r="B12" i="2"/>
  <c r="J3" i="2"/>
  <c r="H3" i="2"/>
  <c r="B12" i="1"/>
  <c r="J3" i="1"/>
  <c r="H3" i="1"/>
  <c r="B2" i="2" l="1"/>
  <c r="B2" i="1"/>
  <c r="B1" i="2"/>
  <c r="G12" i="2"/>
  <c r="H12" i="2"/>
  <c r="G13" i="2"/>
  <c r="H13" i="2"/>
  <c r="I13" i="2"/>
  <c r="G14" i="2"/>
  <c r="H14" i="2"/>
  <c r="I14" i="2"/>
  <c r="G15" i="2"/>
  <c r="H15" i="2"/>
  <c r="I15" i="2"/>
  <c r="G16" i="2"/>
  <c r="H16" i="2"/>
  <c r="I16" i="2"/>
  <c r="M16" i="2" s="1"/>
  <c r="G17" i="2"/>
  <c r="H17" i="2"/>
  <c r="I17" i="2"/>
  <c r="M17" i="2" s="1"/>
  <c r="G18" i="2"/>
  <c r="H18" i="2"/>
  <c r="I18" i="2"/>
  <c r="G19" i="2"/>
  <c r="H19" i="2"/>
  <c r="I19" i="2"/>
  <c r="G20" i="2"/>
  <c r="H20" i="2"/>
  <c r="I20" i="2"/>
  <c r="G21" i="2"/>
  <c r="H21" i="2"/>
  <c r="I21" i="2"/>
  <c r="G22" i="2"/>
  <c r="H22" i="2"/>
  <c r="I22" i="2"/>
  <c r="G23" i="2"/>
  <c r="H23" i="2"/>
  <c r="I23" i="2"/>
  <c r="C25" i="2"/>
  <c r="D25" i="2"/>
  <c r="F25" i="2"/>
  <c r="J25" i="2"/>
  <c r="K25" i="2"/>
  <c r="L25" i="2"/>
  <c r="G29" i="2"/>
  <c r="B30" i="2"/>
  <c r="G30" i="2"/>
  <c r="G32" i="2"/>
  <c r="B1" i="1"/>
  <c r="G12" i="1"/>
  <c r="H12" i="1"/>
  <c r="I12" i="1"/>
  <c r="G13" i="1"/>
  <c r="H13" i="1"/>
  <c r="I13" i="1"/>
  <c r="G14" i="1"/>
  <c r="H14" i="1"/>
  <c r="I14" i="1"/>
  <c r="G15" i="1"/>
  <c r="H15" i="1"/>
  <c r="I15" i="1"/>
  <c r="G16" i="1"/>
  <c r="H16" i="1"/>
  <c r="I16" i="1"/>
  <c r="M16" i="1" s="1"/>
  <c r="G17" i="1"/>
  <c r="H17" i="1"/>
  <c r="I17" i="1"/>
  <c r="M17" i="1" s="1"/>
  <c r="G18" i="1"/>
  <c r="H18" i="1"/>
  <c r="I18" i="1"/>
  <c r="G19" i="1"/>
  <c r="H19" i="1"/>
  <c r="I19" i="1"/>
  <c r="G20" i="1"/>
  <c r="H20" i="1"/>
  <c r="I20" i="1"/>
  <c r="G21" i="1"/>
  <c r="H21" i="1"/>
  <c r="I21" i="1"/>
  <c r="G22" i="1"/>
  <c r="H22" i="1"/>
  <c r="I22" i="1"/>
  <c r="G23" i="1"/>
  <c r="H23" i="1"/>
  <c r="I23" i="1"/>
  <c r="C25" i="1"/>
  <c r="D25" i="1"/>
  <c r="F25" i="1"/>
  <c r="J25" i="1"/>
  <c r="K25" i="1"/>
  <c r="L25" i="1"/>
  <c r="G29" i="1"/>
  <c r="B30" i="1"/>
  <c r="G30" i="1"/>
  <c r="G32" i="1"/>
  <c r="J12" i="4"/>
  <c r="K12" i="4"/>
  <c r="L12" i="4"/>
  <c r="J13" i="4"/>
  <c r="K13" i="4"/>
  <c r="L13" i="4"/>
  <c r="J14" i="4"/>
  <c r="K14" i="4"/>
  <c r="L14" i="4"/>
  <c r="J15" i="4"/>
  <c r="K15" i="4"/>
  <c r="J16" i="4"/>
  <c r="K16" i="4"/>
  <c r="J17" i="4"/>
  <c r="K17" i="4"/>
  <c r="N17" i="4" s="1"/>
  <c r="J18" i="4"/>
  <c r="K18" i="4"/>
  <c r="J19" i="4"/>
  <c r="K19" i="4"/>
  <c r="J20" i="4"/>
  <c r="K20" i="4"/>
  <c r="J21" i="4"/>
  <c r="K21" i="4"/>
  <c r="J22" i="4"/>
  <c r="J23" i="4"/>
  <c r="H19" i="4" l="1"/>
  <c r="H17" i="4"/>
  <c r="H15" i="4"/>
  <c r="G14" i="4"/>
  <c r="G22" i="4"/>
  <c r="H21" i="4"/>
  <c r="G20" i="4"/>
  <c r="G16" i="4"/>
  <c r="G12" i="4"/>
  <c r="H22" i="4"/>
  <c r="G18" i="4"/>
  <c r="I19" i="4"/>
  <c r="G23" i="4"/>
  <c r="G21" i="4"/>
  <c r="H20" i="4"/>
  <c r="G19" i="4"/>
  <c r="G17" i="4"/>
  <c r="G15" i="4"/>
  <c r="G13" i="4"/>
  <c r="H23" i="4"/>
  <c r="H18" i="4"/>
  <c r="H16" i="4"/>
  <c r="H14" i="4"/>
  <c r="I13" i="4"/>
  <c r="I17" i="4"/>
  <c r="I21" i="4"/>
  <c r="D25" i="4"/>
  <c r="I20" i="4"/>
  <c r="I16" i="4"/>
  <c r="N29" i="2"/>
  <c r="H12" i="4"/>
  <c r="N28" i="1"/>
  <c r="I23" i="4"/>
  <c r="I22" i="4"/>
  <c r="I18" i="4"/>
  <c r="H25" i="1"/>
  <c r="I15" i="4"/>
  <c r="F25" i="4"/>
  <c r="N31" i="1"/>
  <c r="K25" i="4"/>
  <c r="H25" i="2"/>
  <c r="G25" i="2"/>
  <c r="N30" i="2" s="1"/>
  <c r="I25" i="2"/>
  <c r="N25" i="2" s="1"/>
  <c r="G25" i="1"/>
  <c r="N30" i="1" s="1"/>
  <c r="I14" i="4"/>
  <c r="L25" i="4"/>
  <c r="N28" i="2"/>
  <c r="J25" i="4"/>
  <c r="C25" i="4"/>
  <c r="N31" i="2"/>
  <c r="N29" i="1"/>
  <c r="I12" i="4"/>
  <c r="I25" i="1"/>
  <c r="N25" i="1" s="1"/>
  <c r="M12" i="4" l="1"/>
  <c r="M22" i="4"/>
  <c r="N28" i="4"/>
  <c r="N29" i="4"/>
  <c r="N31" i="4"/>
  <c r="M21" i="4"/>
  <c r="H25" i="4"/>
  <c r="M19" i="4"/>
  <c r="M18" i="4"/>
  <c r="M14" i="4"/>
  <c r="M23" i="4"/>
  <c r="M17" i="4"/>
  <c r="M13" i="4"/>
  <c r="M25" i="1"/>
  <c r="G25" i="4"/>
  <c r="N32" i="4" s="1"/>
  <c r="M16" i="4"/>
  <c r="M20" i="4"/>
  <c r="M25" i="2"/>
  <c r="M15" i="4"/>
  <c r="N32" i="1"/>
  <c r="I25" i="4"/>
  <c r="N25" i="4" s="1"/>
  <c r="N32" i="2"/>
  <c r="N30" i="4" l="1"/>
  <c r="M25" i="4"/>
</calcChain>
</file>

<file path=xl/sharedStrings.xml><?xml version="1.0" encoding="utf-8"?>
<sst xmlns="http://schemas.openxmlformats.org/spreadsheetml/2006/main" count="161" uniqueCount="58">
  <si>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</si>
  <si>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</si>
  <si>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</si>
  <si>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</si>
  <si>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</si>
  <si>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</si>
  <si>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</si>
  <si>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</si>
  <si>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</si>
  <si>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</si>
  <si>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</si>
  <si>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</si>
  <si>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</si>
  <si>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</si>
  <si>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</si>
  <si>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</si>
  <si>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</si>
  <si>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</si>
  <si>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</si>
  <si>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</si>
  <si>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</si>
  <si>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</si>
  <si>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</si>
  <si>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</si>
  <si>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</si>
  <si>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</si>
  <si>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</si>
  <si>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</si>
  <si>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</si>
  <si>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</si>
  <si>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</si>
  <si>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</si>
  <si>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</si>
  <si>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</si>
  <si>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</si>
  <si>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</si>
  <si>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Assignment of Benefits</t>
  </si>
  <si>
    <t>Summary</t>
  </si>
  <si>
    <t>E+1</t>
  </si>
  <si>
    <t>Prior Year Data</t>
  </si>
  <si>
    <t>Surplus (Deficit)</t>
  </si>
  <si>
    <t>Monthly Performance Report - Budgeted vs Actual Claims Paid</t>
  </si>
  <si>
    <t>Jefferson County Schools</t>
  </si>
  <si>
    <t>S420</t>
  </si>
  <si>
    <t>Dental</t>
  </si>
  <si>
    <t>Standard Dental</t>
  </si>
  <si>
    <t>S420DEN</t>
  </si>
  <si>
    <t>100% of the first $175</t>
  </si>
  <si>
    <t>Plan Year Maximum: $1,200</t>
  </si>
  <si>
    <t>Ortho covered for Adults &amp; Children</t>
  </si>
  <si>
    <t>Dental/Vision</t>
  </si>
  <si>
    <t>S420DEN-VIS</t>
  </si>
  <si>
    <t>50% of the next $2050</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</si>
  <si>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</si>
  <si>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50% of the next $2650</t>
  </si>
  <si>
    <t>Plan Year Maximum: $1,500/includes $300 vision</t>
  </si>
  <si>
    <t/>
  </si>
  <si>
    <t>S420DEN/VIS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</si>
</sst>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8" x14ac:knownFonts="1">
    <font>
      <sz val="11"/>
      <color theme="1"/>
      <name val="Calibri"/>
      <family val="2"/>
      <scheme val="minor"/>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u/>
      <sz val="12"/>
      <name val="Arial"/>
      <family val="2"/>
    </font>
    <font>
      <b/>
      <sz val="12"/>
      <color rgb="FF00B050"/>
      <name val="Arial"/>
      <family val="2"/>
    </font>
    <font>
      <sz val="12"/>
      <color rgb="FF00B050"/>
      <name val="Arial"/>
      <family val="2"/>
    </font>
    <font>
      <sz val="12"/>
      <color theme="0"/>
      <name val="Arial"/>
      <family val="2"/>
    </font>
    <font>
      <sz val="12"/>
      <color theme="1"/>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4">
    <xf numFmtId="0" fontId="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cellStyleXfs>
  <cellXfs count="151">
    <xf numFmtId="0" fontId="0" fillId="0" borderId="0" xfId="0"/>
    <xf numFmtId="0" fontId="2" fillId="0" borderId="0" xfId="0" applyFont="1"/>
    <xf numFmtId="0" fontId="3" fillId="0" borderId="0" xfId="0" applyFont="1" applyAlignment="1">
      <alignment horizontal="center"/>
    </xf>
    <xf numFmtId="0" fontId="1" fillId="0" borderId="0" xfId="0" applyFont="1"/>
    <xf numFmtId="0" fontId="4" fillId="0" borderId="0" xfId="0" applyFont="1" applyAlignment="1">
      <alignment horizontal="right"/>
    </xf>
    <xf numFmtId="0" fontId="3" fillId="0" borderId="0" xfId="0" applyFont="1" applyAlignment="1">
      <alignment horizontal="right"/>
    </xf>
    <xf numFmtId="164" fontId="1" fillId="0" borderId="0" xfId="0" applyNumberFormat="1" applyFont="1" applyAlignment="1">
      <alignment horizontal="center"/>
    </xf>
    <xf numFmtId="0" fontId="2" fillId="0" borderId="0" xfId="0" applyFont="1" applyAlignment="1">
      <alignment horizontal="center" wrapText="1"/>
    </xf>
    <xf numFmtId="0" fontId="5" fillId="0" borderId="0" xfId="0" applyFont="1" applyAlignment="1">
      <alignment horizontal="center"/>
    </xf>
    <xf numFmtId="0" fontId="6" fillId="0" borderId="0" xfId="0" applyFont="1" applyAlignment="1">
      <alignment horizontal="right"/>
    </xf>
    <xf numFmtId="165" fontId="7" fillId="0" borderId="0" xfId="1" applyNumberFormat="1" applyFont="1"/>
    <xf numFmtId="0" fontId="1" fillId="0" borderId="0" xfId="0" applyFont="1" applyAlignment="1">
      <alignment horizontal="right"/>
    </xf>
    <xf numFmtId="0" fontId="8" fillId="0" borderId="0" xfId="0" applyFont="1"/>
    <xf numFmtId="0" fontId="1" fillId="0" borderId="0" xfId="0" applyFont="1" applyAlignment="1">
      <alignment horizontal="center"/>
    </xf>
    <xf numFmtId="0" fontId="3" fillId="0" borderId="0" xfId="0" applyFont="1"/>
    <xf numFmtId="0" fontId="1" fillId="0" borderId="0" xfId="0" applyFont="1" applyAlignment="1">
      <alignment horizontal="left"/>
    </xf>
    <xf numFmtId="164" fontId="3" fillId="0" borderId="0" xfId="0" applyNumberFormat="1" applyFont="1" applyAlignment="1">
      <alignment horizontal="center"/>
    </xf>
    <xf numFmtId="0" fontId="9" fillId="0" borderId="0" xfId="0" applyFont="1"/>
    <xf numFmtId="7" fontId="9" fillId="0" borderId="0" xfId="0" applyNumberFormat="1" applyFont="1"/>
    <xf numFmtId="0" fontId="9" fillId="0" borderId="0" xfId="0" applyFont="1" applyAlignment="1">
      <alignment horizontal="center"/>
    </xf>
    <xf numFmtId="0" fontId="9" fillId="0" borderId="0" xfId="0" applyFont="1" applyAlignment="1">
      <alignment horizontal="center" wrapText="1"/>
    </xf>
    <xf numFmtId="2" fontId="11" fillId="0" borderId="1" xfId="0" applyNumberFormat="1" applyFont="1" applyBorder="1" applyAlignment="1">
      <alignment horizontal="center" vertical="center"/>
    </xf>
    <xf numFmtId="0" fontId="12" fillId="0" borderId="0" xfId="0" applyFont="1"/>
    <xf numFmtId="0" fontId="11" fillId="0" borderId="2" xfId="0" applyFont="1" applyBorder="1"/>
    <xf numFmtId="166" fontId="11" fillId="0" borderId="0" xfId="0" applyNumberFormat="1" applyFont="1" applyAlignment="1">
      <alignment horizontal="right"/>
    </xf>
    <xf numFmtId="0" fontId="11" fillId="0" borderId="0" xfId="0" applyFont="1" applyAlignment="1">
      <alignment horizontal="right"/>
    </xf>
    <xf numFmtId="0" fontId="11" fillId="0" borderId="3" xfId="0" applyFont="1" applyBorder="1" applyAlignment="1">
      <alignment horizontal="right"/>
    </xf>
    <xf numFmtId="0" fontId="11" fillId="0" borderId="4" xfId="0" applyFont="1" applyBorder="1" applyAlignment="1">
      <alignment horizontal="center"/>
    </xf>
    <xf numFmtId="0" fontId="11" fillId="0" borderId="5" xfId="0" applyFont="1" applyBorder="1" applyAlignment="1">
      <alignment horizontal="center" wrapText="1"/>
    </xf>
    <xf numFmtId="0" fontId="11" fillId="0" borderId="6" xfId="0" applyFont="1" applyBorder="1" applyAlignment="1">
      <alignment horizontal="center"/>
    </xf>
    <xf numFmtId="0" fontId="11" fillId="0" borderId="5" xfId="0" applyFont="1" applyBorder="1" applyAlignment="1">
      <alignment horizontal="center"/>
    </xf>
    <xf numFmtId="0" fontId="11" fillId="0" borderId="7" xfId="0" applyFont="1" applyBorder="1" applyAlignment="1">
      <alignment horizontal="right"/>
    </xf>
    <xf numFmtId="166" fontId="11" fillId="0" borderId="8" xfId="0" applyNumberFormat="1" applyFont="1" applyBorder="1" applyAlignment="1">
      <alignment horizontal="right"/>
    </xf>
    <xf numFmtId="165" fontId="11" fillId="0" borderId="0" xfId="1" applyNumberFormat="1" applyFont="1" applyAlignment="1">
      <alignment horizontal="right"/>
    </xf>
    <xf numFmtId="166" fontId="11" fillId="0" borderId="9" xfId="0" applyNumberFormat="1" applyFont="1" applyBorder="1" applyAlignment="1">
      <alignment horizontal="center"/>
    </xf>
    <xf numFmtId="0" fontId="11" fillId="0" borderId="8" xfId="0" applyFont="1" applyBorder="1" applyAlignment="1">
      <alignment horizontal="center"/>
    </xf>
    <xf numFmtId="0" fontId="11" fillId="0" borderId="10" xfId="0" applyFont="1" applyBorder="1" applyAlignment="1">
      <alignment horizontal="center" wrapText="1"/>
    </xf>
    <xf numFmtId="0" fontId="11" fillId="0" borderId="7" xfId="0" applyFont="1" applyBorder="1" applyAlignment="1">
      <alignment horizontal="center"/>
    </xf>
    <xf numFmtId="0" fontId="11" fillId="0" borderId="10" xfId="0" applyFont="1" applyBorder="1" applyAlignment="1">
      <alignment horizontal="center"/>
    </xf>
    <xf numFmtId="17" fontId="12" fillId="0" borderId="6" xfId="0" quotePrefix="1" applyNumberFormat="1" applyFont="1" applyBorder="1" applyAlignment="1">
      <alignment horizontal="right"/>
    </xf>
    <xf numFmtId="165" fontId="12" fillId="0" borderId="4" xfId="1" applyNumberFormat="1" applyFont="1" applyBorder="1" applyAlignment="1">
      <alignment horizontal="right"/>
    </xf>
    <xf numFmtId="165" fontId="12" fillId="0" borderId="5" xfId="1" applyNumberFormat="1" applyFont="1" applyBorder="1" applyAlignment="1">
      <alignment horizontal="right"/>
    </xf>
    <xf numFmtId="44" fontId="12" fillId="0" borderId="11" xfId="2" applyFont="1" applyBorder="1" applyAlignment="1">
      <alignment horizontal="right"/>
    </xf>
    <xf numFmtId="44" fontId="12" fillId="0" borderId="6" xfId="2" applyFont="1" applyBorder="1" applyAlignment="1">
      <alignment horizontal="right"/>
    </xf>
    <xf numFmtId="44" fontId="12" fillId="0" borderId="4" xfId="2" applyFont="1" applyBorder="1" applyAlignment="1">
      <alignment horizontal="center"/>
    </xf>
    <xf numFmtId="44" fontId="12" fillId="0" borderId="4" xfId="2" applyFont="1" applyBorder="1"/>
    <xf numFmtId="165" fontId="12" fillId="0" borderId="5" xfId="1" applyNumberFormat="1" applyFont="1" applyBorder="1" applyAlignment="1">
      <alignment horizontal="center" wrapText="1"/>
    </xf>
    <xf numFmtId="10" fontId="12" fillId="0" borderId="5" xfId="3" applyNumberFormat="1" applyFont="1" applyBorder="1"/>
    <xf numFmtId="165" fontId="12" fillId="0" borderId="0" xfId="0" applyNumberFormat="1" applyFont="1"/>
    <xf numFmtId="17" fontId="12" fillId="0" borderId="2" xfId="0" applyNumberFormat="1" applyFont="1" applyBorder="1" applyAlignment="1">
      <alignment horizontal="right"/>
    </xf>
    <xf numFmtId="165" fontId="12" fillId="0" borderId="0" xfId="1" applyNumberFormat="1" applyFont="1" applyAlignment="1">
      <alignment horizontal="right"/>
    </xf>
    <xf numFmtId="44" fontId="12" fillId="0" borderId="3" xfId="2" applyFont="1" applyBorder="1" applyAlignment="1">
      <alignment horizontal="right"/>
    </xf>
    <xf numFmtId="44" fontId="12" fillId="0" borderId="2" xfId="2" applyFont="1" applyBorder="1" applyAlignment="1">
      <alignment horizontal="right"/>
    </xf>
    <xf numFmtId="44" fontId="12" fillId="0" borderId="0" xfId="2" applyFont="1" applyAlignment="1">
      <alignment horizontal="right"/>
    </xf>
    <xf numFmtId="37" fontId="12" fillId="0" borderId="12" xfId="2" applyNumberFormat="1" applyFont="1" applyBorder="1" applyAlignment="1">
      <alignment horizontal="right"/>
    </xf>
    <xf numFmtId="10" fontId="12" fillId="0" borderId="12" xfId="3" applyNumberFormat="1" applyFont="1" applyBorder="1" applyAlignment="1">
      <alignment horizontal="right"/>
    </xf>
    <xf numFmtId="165" fontId="12" fillId="0" borderId="0" xfId="1" applyNumberFormat="1" applyFont="1"/>
    <xf numFmtId="17" fontId="12" fillId="0" borderId="7" xfId="0" applyNumberFormat="1" applyFont="1" applyBorder="1" applyAlignment="1">
      <alignment horizontal="right"/>
    </xf>
    <xf numFmtId="165" fontId="12" fillId="0" borderId="8" xfId="1" applyNumberFormat="1" applyFont="1" applyBorder="1" applyAlignment="1">
      <alignment horizontal="right"/>
    </xf>
    <xf numFmtId="165" fontId="12" fillId="0" borderId="10" xfId="1" applyNumberFormat="1" applyFont="1" applyBorder="1" applyAlignment="1">
      <alignment horizontal="right"/>
    </xf>
    <xf numFmtId="44" fontId="12" fillId="0" borderId="9" xfId="2" applyFont="1" applyBorder="1" applyAlignment="1">
      <alignment horizontal="right"/>
    </xf>
    <xf numFmtId="44" fontId="12" fillId="0" borderId="7" xfId="2" applyFont="1" applyBorder="1" applyAlignment="1">
      <alignment horizontal="right"/>
    </xf>
    <xf numFmtId="44" fontId="12" fillId="0" borderId="8" xfId="2" applyFont="1" applyBorder="1" applyAlignment="1">
      <alignment horizontal="center"/>
    </xf>
    <xf numFmtId="44" fontId="12" fillId="0" borderId="8" xfId="2" applyFont="1" applyBorder="1"/>
    <xf numFmtId="165" fontId="12" fillId="0" borderId="10" xfId="1" applyNumberFormat="1" applyFont="1" applyBorder="1" applyAlignment="1">
      <alignment horizontal="center" wrapText="1"/>
    </xf>
    <xf numFmtId="10" fontId="12" fillId="0" borderId="10" xfId="3" applyNumberFormat="1" applyFont="1" applyBorder="1" applyAlignment="1">
      <alignment horizontal="center"/>
    </xf>
    <xf numFmtId="0" fontId="11" fillId="0" borderId="13" xfId="0" applyFont="1" applyBorder="1" applyAlignment="1">
      <alignment horizontal="right"/>
    </xf>
    <xf numFmtId="165" fontId="11" fillId="0" borderId="14" xfId="1" applyNumberFormat="1" applyFont="1" applyBorder="1" applyAlignment="1">
      <alignment horizontal="right"/>
    </xf>
    <xf numFmtId="44" fontId="11" fillId="0" borderId="13" xfId="2" applyFont="1" applyBorder="1"/>
    <xf numFmtId="44" fontId="11" fillId="0" borderId="14" xfId="2" applyFont="1" applyBorder="1"/>
    <xf numFmtId="44" fontId="11" fillId="0" borderId="14" xfId="2" applyFont="1" applyBorder="1" applyAlignment="1">
      <alignment horizontal="right"/>
    </xf>
    <xf numFmtId="165" fontId="11" fillId="0" borderId="15" xfId="1" applyNumberFormat="1" applyFont="1" applyBorder="1" applyAlignment="1">
      <alignment horizontal="center" wrapText="1"/>
    </xf>
    <xf numFmtId="0" fontId="11" fillId="0" borderId="0" xfId="0" applyFont="1"/>
    <xf numFmtId="0" fontId="12" fillId="0" borderId="0" xfId="0" applyFont="1" applyAlignment="1">
      <alignment horizontal="center"/>
    </xf>
    <xf numFmtId="0" fontId="12" fillId="0" borderId="0" xfId="0" applyFont="1" applyAlignment="1">
      <alignment horizontal="center" wrapText="1"/>
    </xf>
    <xf numFmtId="0" fontId="11" fillId="0" borderId="0" xfId="0" applyFont="1" applyAlignment="1">
      <alignment horizontal="center"/>
    </xf>
    <xf numFmtId="44" fontId="12" fillId="0" borderId="17" xfId="2" applyFont="1" applyBorder="1"/>
    <xf numFmtId="167" fontId="12" fillId="0" borderId="0" xfId="0" applyNumberFormat="1" applyFont="1" applyAlignment="1">
      <alignment horizontal="center"/>
    </xf>
    <xf numFmtId="43" fontId="12" fillId="0" borderId="17" xfId="1" applyFont="1" applyBorder="1"/>
    <xf numFmtId="10" fontId="12" fillId="0" borderId="17" xfId="0" applyNumberFormat="1" applyFont="1" applyBorder="1"/>
    <xf numFmtId="0" fontId="12" fillId="0" borderId="0" xfId="0" applyFont="1" applyAlignment="1">
      <alignment horizontal="left"/>
    </xf>
    <xf numFmtId="8" fontId="12" fillId="0" borderId="0" xfId="0" applyNumberFormat="1" applyFont="1"/>
    <xf numFmtId="0" fontId="12" fillId="0" borderId="0" xfId="0" applyFont="1" applyAlignment="1">
      <alignment horizontal="right"/>
    </xf>
    <xf numFmtId="3" fontId="12" fillId="0" borderId="0" xfId="0" applyNumberFormat="1" applyFont="1" applyAlignment="1">
      <alignment horizontal="left"/>
    </xf>
    <xf numFmtId="44" fontId="12" fillId="0" borderId="6" xfId="2" applyFont="1" applyBorder="1"/>
    <xf numFmtId="165" fontId="12" fillId="0" borderId="12" xfId="1" applyNumberFormat="1" applyFont="1" applyBorder="1" applyAlignment="1">
      <alignment horizontal="right"/>
    </xf>
    <xf numFmtId="44" fontId="12" fillId="0" borderId="7" xfId="2" applyFont="1" applyBorder="1"/>
    <xf numFmtId="10" fontId="11" fillId="0" borderId="15" xfId="0" applyNumberFormat="1" applyFont="1" applyBorder="1" applyAlignment="1">
      <alignment horizontal="right"/>
    </xf>
    <xf numFmtId="0" fontId="12" fillId="0" borderId="16" xfId="0" applyFont="1" applyBorder="1"/>
    <xf numFmtId="0" fontId="12" fillId="0" borderId="17" xfId="0" applyFont="1" applyBorder="1" applyAlignment="1">
      <alignment horizontal="center"/>
    </xf>
    <xf numFmtId="0" fontId="12" fillId="0" borderId="17" xfId="0" applyFont="1" applyBorder="1" applyAlignment="1">
      <alignment horizontal="right"/>
    </xf>
    <xf numFmtId="167" fontId="12" fillId="0" borderId="17" xfId="0" applyNumberFormat="1" applyFont="1" applyBorder="1" applyAlignment="1">
      <alignment horizontal="center"/>
    </xf>
    <xf numFmtId="165" fontId="12" fillId="0" borderId="17" xfId="1" applyNumberFormat="1" applyFont="1" applyBorder="1" applyAlignment="1">
      <alignment horizontal="right"/>
    </xf>
    <xf numFmtId="167" fontId="12" fillId="0" borderId="0" xfId="0" applyNumberFormat="1" applyFont="1" applyAlignment="1">
      <alignment horizontal="right"/>
    </xf>
    <xf numFmtId="44" fontId="15" fillId="0" borderId="17" xfId="2" applyFont="1" applyBorder="1"/>
    <xf numFmtId="43" fontId="15" fillId="0" borderId="17" xfId="1" applyFont="1" applyBorder="1"/>
    <xf numFmtId="10" fontId="15" fillId="0" borderId="17" xfId="0" applyNumberFormat="1" applyFont="1" applyBorder="1"/>
    <xf numFmtId="8" fontId="15" fillId="0" borderId="17" xfId="2" applyNumberFormat="1" applyFont="1" applyBorder="1"/>
    <xf numFmtId="10" fontId="16" fillId="0" borderId="10" xfId="3" applyNumberFormat="1" applyFont="1" applyBorder="1" applyAlignment="1">
      <alignment horizontal="center"/>
    </xf>
    <xf numFmtId="37" fontId="17" fillId="0" borderId="12" xfId="2" applyNumberFormat="1" applyFont="1" applyBorder="1" applyAlignment="1">
      <alignment horizontal="right"/>
    </xf>
    <xf numFmtId="10" fontId="17" fillId="0" borderId="12" xfId="3" applyNumberFormat="1" applyFont="1" applyBorder="1" applyAlignment="1">
      <alignment horizontal="right"/>
    </xf>
    <xf numFmtId="0" fontId="3" fillId="0" borderId="0" xfId="0" applyFont="1" applyAlignment="1">
      <alignment horizontal="right"/>
    </xf>
    <xf numFmtId="0" fontId="1" fillId="0" borderId="0" xfId="0" applyFont="1" applyAlignment="1">
      <alignment horizontal="left"/>
    </xf>
    <xf numFmtId="2" fontId="11" fillId="0" borderId="13" xfId="0" applyNumberFormat="1" applyFont="1" applyBorder="1" applyAlignment="1">
      <alignment horizontal="center" vertical="center"/>
    </xf>
    <xf numFmtId="2" fontId="11" fillId="0" borderId="14" xfId="0" applyNumberFormat="1" applyFont="1" applyBorder="1" applyAlignment="1">
      <alignment horizontal="center" vertical="center"/>
    </xf>
    <xf numFmtId="0" fontId="14" fillId="0" borderId="16" xfId="0" applyFont="1" applyBorder="1" applyAlignment="1">
      <alignment horizontal="right"/>
    </xf>
    <xf numFmtId="0" fontId="14" fillId="0" borderId="18" xfId="0" applyFont="1" applyBorder="1" applyAlignment="1">
      <alignment horizontal="right"/>
    </xf>
    <xf numFmtId="0" fontId="14" fillId="0" borderId="19" xfId="0" applyFont="1" applyBorder="1" applyAlignment="1">
      <alignment horizontal="right"/>
    </xf>
    <xf numFmtId="0" fontId="12" fillId="0" borderId="16" xfId="0" applyFont="1" applyBorder="1" applyAlignment="1">
      <alignment horizontal="right"/>
    </xf>
    <xf numFmtId="0" fontId="12" fillId="0" borderId="18" xfId="0" applyFont="1" applyBorder="1" applyAlignment="1">
      <alignment horizontal="right"/>
    </xf>
    <xf numFmtId="0" fontId="12" fillId="0" borderId="19" xfId="0" applyFont="1" applyBorder="1" applyAlignment="1">
      <alignment horizontal="right"/>
    </xf>
    <xf numFmtId="0" fontId="11" fillId="0" borderId="16"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13" xfId="0" applyFont="1" applyBorder="1" applyAlignment="1">
      <alignment horizontal="center" vertical="center"/>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0" xfId="0" applyFont="1" applyAlignment="1">
      <alignment horizontal="center" vertical="center" wrapText="1"/>
    </xf>
    <xf numFmtId="0" fontId="12" fillId="0" borderId="24"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27" xfId="0" applyFont="1" applyBorder="1" applyAlignment="1">
      <alignment horizontal="center" vertical="center" wrapText="1"/>
    </xf>
    <xf numFmtId="0" fontId="14" fillId="0" borderId="16"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16" xfId="0" applyFont="1" applyBorder="1" applyAlignment="1">
      <alignment horizontal="right"/>
    </xf>
    <xf numFmtId="0" fontId="15" fillId="0" borderId="18" xfId="0" applyFont="1" applyBorder="1" applyAlignment="1">
      <alignment horizontal="right"/>
    </xf>
    <xf numFmtId="0" fontId="15" fillId="0" borderId="19" xfId="0" applyFont="1" applyBorder="1" applyAlignment="1">
      <alignment horizontal="right"/>
    </xf>
    <xf numFmtId="0" fontId="1" fillId="0" borderId="0" xfId="0" applyFont="1" applyAlignment="1">
      <alignment horizontal="center"/>
    </xf>
    <xf numFmtId="0" fontId="3" fillId="0" borderId="0" xfId="0" applyFont="1" applyAlignment="1">
      <alignment horizontal="center"/>
    </xf>
    <xf numFmtId="3" fontId="12" fillId="0" borderId="2" xfId="0" applyNumberFormat="1" applyFont="1" applyBorder="1" applyAlignment="1">
      <alignment horizontal="left"/>
    </xf>
    <xf numFmtId="3" fontId="12" fillId="0" borderId="0" xfId="0" applyNumberFormat="1" applyFont="1" applyAlignment="1">
      <alignment horizontal="left"/>
    </xf>
    <xf numFmtId="3" fontId="12" fillId="0" borderId="12" xfId="0" applyNumberFormat="1" applyFont="1" applyBorder="1" applyAlignment="1">
      <alignment horizontal="left"/>
    </xf>
    <xf numFmtId="3" fontId="12" fillId="0" borderId="7" xfId="0" applyNumberFormat="1" applyFont="1" applyBorder="1" applyAlignment="1">
      <alignment horizontal="left"/>
    </xf>
    <xf numFmtId="3" fontId="12" fillId="0" borderId="8" xfId="0" applyNumberFormat="1" applyFont="1" applyBorder="1" applyAlignment="1">
      <alignment horizontal="left"/>
    </xf>
    <xf numFmtId="3" fontId="12" fillId="0" borderId="10" xfId="0" applyNumberFormat="1" applyFont="1" applyBorder="1" applyAlignment="1">
      <alignment horizontal="left"/>
    </xf>
    <xf numFmtId="0" fontId="11" fillId="0" borderId="11" xfId="0" applyFont="1" applyBorder="1" applyAlignment="1">
      <alignment horizontal="center"/>
    </xf>
    <xf numFmtId="3" fontId="12" fillId="0" borderId="6" xfId="0" applyNumberFormat="1" applyFont="1" applyBorder="1" applyAlignment="1">
      <alignment horizontal="left"/>
    </xf>
    <xf numFmtId="3" fontId="12" fillId="0" borderId="4" xfId="0" applyNumberFormat="1" applyFont="1" applyBorder="1" applyAlignment="1">
      <alignment horizontal="left"/>
    </xf>
    <xf numFmtId="3" fontId="12" fillId="0" borderId="5" xfId="0" applyNumberFormat="1" applyFont="1" applyBorder="1" applyAlignment="1">
      <alignment horizontal="left"/>
    </xf>
    <xf numFmtId="167" fontId="12" fillId="0" borderId="18" xfId="0" applyNumberFormat="1" applyFont="1" applyBorder="1" applyAlignment="1">
      <alignment horizontal="center"/>
    </xf>
    <xf numFmtId="167" fontId="12" fillId="0" borderId="19" xfId="0" applyNumberFormat="1" applyFont="1" applyBorder="1" applyAlignment="1">
      <alignment horizontal="center"/>
    </xf>
    <xf numFmtId="167" fontId="12" fillId="0" borderId="16" xfId="0" applyNumberFormat="1" applyFont="1" applyBorder="1" applyAlignment="1">
      <alignment horizontal="center"/>
    </xf>
    <xf numFmtId="0" fontId="11" fillId="0" borderId="28" xfId="0" applyFont="1" applyBorder="1" applyAlignment="1">
      <alignment horizontal="center"/>
    </xf>
    <xf numFmtId="0" fontId="11" fillId="0" borderId="29" xfId="0" applyFont="1" applyBorder="1" applyAlignment="1">
      <alignment horizontal="center"/>
    </xf>
    <xf numFmtId="0" fontId="11" fillId="0" borderId="30" xfId="0" applyFont="1" applyBorder="1" applyAlignment="1">
      <alignment horizontal="center"/>
    </xf>
    <xf numFmtId="0" fontId="12" fillId="0" borderId="16" xfId="0" applyFont="1" applyBorder="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0</xdr:row>
      <xdr:rowOff>133350</xdr:rowOff>
    </xdr:from>
    <xdr:to>
      <xdr:col>3</xdr:col>
      <xdr:colOff>130175</xdr:colOff>
      <xdr:row>2</xdr:row>
      <xdr:rowOff>209550</xdr:rowOff>
    </xdr:to>
    <xdr:pic>
      <xdr:nvPicPr>
        <xdr:cNvPr id="2094" name="Picture 1">
          <a:extLst>
            <a:ext uri="{FF2B5EF4-FFF2-40B4-BE49-F238E27FC236}">
              <a16:creationId xmlns:a16="http://schemas.microsoft.com/office/drawing/2014/main" id="{00000000-0008-0000-0000-00002E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1333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114300</xdr:colOff>
      <xdr:row>1</xdr:row>
      <xdr:rowOff>19050</xdr:rowOff>
    </xdr:from>
    <xdr:to>
      <xdr:col>3</xdr:col>
      <xdr:colOff>206375</xdr:colOff>
      <xdr:row>3</xdr:row>
      <xdr:rowOff>114300</xdr:rowOff>
    </xdr:to>
    <xdr:pic>
      <xdr:nvPicPr>
        <xdr:cNvPr id="3110" name="Picture 1">
          <a:extLst>
            <a:ext uri="{FF2B5EF4-FFF2-40B4-BE49-F238E27FC236}">
              <a16:creationId xmlns:a16="http://schemas.microsoft.com/office/drawing/2014/main" id="{00000000-0008-0000-0100-000026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5" y="276225"/>
          <a:ext cx="16478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142875</xdr:colOff>
      <xdr:row>1</xdr:row>
      <xdr:rowOff>38100</xdr:rowOff>
    </xdr:from>
    <xdr:to>
      <xdr:col>3</xdr:col>
      <xdr:colOff>133350</xdr:colOff>
      <xdr:row>3</xdr:row>
      <xdr:rowOff>95250</xdr:rowOff>
    </xdr:to>
    <xdr:pic>
      <xdr:nvPicPr>
        <xdr:cNvPr id="4134" name="Picture 1">
          <a:extLst>
            <a:ext uri="{FF2B5EF4-FFF2-40B4-BE49-F238E27FC236}">
              <a16:creationId xmlns:a16="http://schemas.microsoft.com/office/drawing/2014/main" id="{00000000-0008-0000-0200-0000261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295275"/>
          <a:ext cx="155257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49"/>
  <sheetViews>
    <sheetView tabSelected="1" workbookViewId="0">
      <selection activeCell="H33" sqref="H33"/>
    </sheetView>
  </sheetViews>
  <sheetFormatPr defaultColWidth="9.140625" defaultRowHeight="10.15" customHeight="1" x14ac:dyDescent="0.2"/>
  <cols>
    <col min="1" max="1" width="5" style="17" customWidth="1"/>
    <col min="2" max="2" width="14.7109375" style="17"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32" t="s">
        <v>42</v>
      </c>
      <c r="C1" s="132"/>
      <c r="D1" s="132"/>
      <c r="E1" s="132"/>
      <c r="F1" s="132"/>
      <c r="G1" s="132"/>
      <c r="H1" s="132"/>
      <c r="I1" s="132"/>
      <c r="J1" s="132"/>
      <c r="K1" s="132"/>
      <c r="L1" s="132"/>
      <c r="M1" s="132"/>
      <c r="N1" s="132"/>
    </row>
    <row r="2" spans="2:26" s="1" customFormat="1" ht="20.25" customHeight="1" x14ac:dyDescent="0.25">
      <c r="B2" s="133" t="s">
        <v>41</v>
      </c>
      <c r="C2" s="133"/>
      <c r="D2" s="133"/>
      <c r="E2" s="133"/>
      <c r="F2" s="133"/>
      <c r="G2" s="133"/>
      <c r="H2" s="133"/>
      <c r="I2" s="133"/>
      <c r="J2" s="133"/>
      <c r="K2" s="133"/>
      <c r="L2" s="133"/>
      <c r="M2" s="133"/>
      <c r="N2" s="133"/>
      <c r="O2" s="3"/>
      <c r="P2" s="3"/>
      <c r="Q2" s="4"/>
      <c r="R2" s="3"/>
      <c r="S2" s="3"/>
      <c r="T2" s="3"/>
      <c r="U2" s="3"/>
      <c r="V2" s="3"/>
      <c r="W2" s="3"/>
      <c r="X2" s="3"/>
      <c r="Y2" s="3"/>
      <c r="Z2" s="3"/>
    </row>
    <row r="3" spans="2:26" s="1" customFormat="1" ht="20.25" customHeight="1" x14ac:dyDescent="0.25">
      <c r="G3" s="5" t="s">
        <v>0</v>
      </c>
      <c r="H3" s="6">
        <v>46023</v>
      </c>
      <c r="I3" s="2" t="s">
        <v>1</v>
      </c>
      <c r="J3" s="6">
        <v>46387</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01" t="s">
        <v>2</v>
      </c>
      <c r="C5" s="101"/>
      <c r="D5" s="102" t="s">
        <v>43</v>
      </c>
      <c r="E5" s="102"/>
      <c r="F5" s="102"/>
      <c r="G5" s="102"/>
      <c r="H5" s="15"/>
      <c r="I5" s="16"/>
      <c r="J5" s="16"/>
      <c r="K5" s="101" t="s">
        <v>3</v>
      </c>
      <c r="L5" s="101"/>
      <c r="M5" s="102" t="s">
        <v>37</v>
      </c>
      <c r="N5" s="102"/>
    </row>
    <row r="6" spans="2:26" s="1" customFormat="1" ht="20.25" customHeight="1" x14ac:dyDescent="0.25">
      <c r="B6" s="101" t="s">
        <v>4</v>
      </c>
      <c r="C6" s="101"/>
      <c r="D6" s="102" t="s">
        <v>44</v>
      </c>
      <c r="E6" s="102"/>
      <c r="F6" s="102"/>
      <c r="G6" s="102"/>
      <c r="H6" s="15"/>
      <c r="I6" s="12"/>
      <c r="J6" s="12"/>
      <c r="K6" s="101" t="s">
        <v>5</v>
      </c>
      <c r="L6" s="101"/>
      <c r="M6" s="102" t="s">
        <v>57</v>
      </c>
      <c r="N6" s="102"/>
    </row>
    <row r="7" spans="2:26" ht="21" customHeight="1" thickBot="1" x14ac:dyDescent="0.25">
      <c r="C7" s="18"/>
      <c r="D7" s="18"/>
      <c r="E7" s="18"/>
    </row>
    <row r="8" spans="2:26" s="22" customFormat="1" ht="15.75" customHeight="1" thickBot="1" x14ac:dyDescent="0.25">
      <c r="B8" s="103" t="s">
        <v>6</v>
      </c>
      <c r="C8" s="104"/>
      <c r="D8" s="104"/>
      <c r="E8" s="104"/>
      <c r="F8" s="104"/>
      <c r="G8" s="104"/>
      <c r="H8" s="21" t="s">
        <v>7</v>
      </c>
      <c r="I8" s="114" t="s">
        <v>8</v>
      </c>
      <c r="J8" s="114"/>
      <c r="K8" s="114"/>
      <c r="L8" s="115"/>
      <c r="M8" s="116" t="s">
        <v>9</v>
      </c>
      <c r="N8" s="115"/>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38</v>
      </c>
      <c r="E10" s="32"/>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44"/>
      <c r="K11" s="45"/>
      <c r="L11" s="46"/>
      <c r="M11" s="45"/>
      <c r="N11" s="47"/>
      <c r="R11" s="48"/>
    </row>
    <row r="12" spans="2:26" s="22" customFormat="1" ht="15.75" customHeight="1" x14ac:dyDescent="0.2">
      <c r="B12" s="49">
        <v>46023</v>
      </c>
      <c r="C12" s="50">
        <f>(Dental!C12)+('Dental-Vision'!C12)</f>
        <v>441</v>
      </c>
      <c r="D12" s="50">
        <f>(Dental!DE12)+('Dental-Vision'!D12)</f>
        <v>131</v>
      </c>
      <c r="E12" s="50"/>
      <c r="F12" s="50">
        <f>(Dental!F12)+('Dental-Vision'!F12)</f>
        <v>241</v>
      </c>
      <c r="G12" s="50">
        <f>(Dental!G12)+('Dental-Vision'!G12)</f>
        <v>833</v>
      </c>
      <c r="H12" s="51">
        <f>(Dental!H12)+('Dental-Vision'!H12)</f>
        <v>3467.45</v>
      </c>
      <c r="I12" s="52">
        <f>(Dental!I12)+('Dental-Vision'!I12)</f>
        <v>46623.82</v>
      </c>
      <c r="J12" s="53">
        <f>(Dental!J12)+('Dental-Vision'!J12)</f>
        <v>6787.03</v>
      </c>
      <c r="K12" s="53">
        <f>(Dental!K12)+('Dental-Vision'!K12)</f>
        <v>5020.01</v>
      </c>
      <c r="L12" s="54">
        <f>(Dental!L12)+('Dental-Vision'!L12)</f>
        <v>26</v>
      </c>
      <c r="M12" s="53">
        <f>(Dental!M12)+('Dental-Vision'!M12)</f>
        <v>41603.81</v>
      </c>
      <c r="N12" s="55">
        <f>K12/I12</f>
        <v>0.10767049975742014</v>
      </c>
      <c r="Q12" s="48"/>
      <c r="R12" s="48"/>
    </row>
    <row r="13" spans="2:26" s="22" customFormat="1" ht="15.75" customHeight="1" x14ac:dyDescent="0.2">
      <c r="B13" s="49">
        <v>46054</v>
      </c>
      <c r="C13" s="50">
        <f>(Dental!C13)+('Dental-Vision'!C13)</f>
        <v>388</v>
      </c>
      <c r="D13" s="50">
        <f>(Dental!DE13)+('Dental-Vision'!D13)</f>
        <v>110</v>
      </c>
      <c r="E13" s="50"/>
      <c r="F13" s="50">
        <f>(Dental!F13)+('Dental-Vision'!F13)</f>
        <v>208</v>
      </c>
      <c r="G13" s="50">
        <f>(Dental!G13)+('Dental-Vision'!G13)</f>
        <v>726</v>
      </c>
      <c r="H13" s="51">
        <f>(Dental!H13)+('Dental-Vision'!H13)</f>
        <v>3013.35</v>
      </c>
      <c r="I13" s="52">
        <f>(Dental!I13)+('Dental-Vision'!I13)</f>
        <v>40403.929999999993</v>
      </c>
      <c r="J13" s="53">
        <f>(Dental!J13)+('Dental-Vision'!J13)</f>
        <v>109546.85999999999</v>
      </c>
      <c r="K13" s="53">
        <f>(Dental!K13)+('Dental-Vision'!K13)</f>
        <v>56821.01</v>
      </c>
      <c r="L13" s="54">
        <f>(Dental!L13)+('Dental-Vision'!L13)</f>
        <v>255</v>
      </c>
      <c r="M13" s="53">
        <f>(Dental!M13)+('Dental-Vision'!M13)</f>
        <v>-16417.080000000005</v>
      </c>
      <c r="N13" s="55">
        <f t="shared" ref="N13:N17" si="0">K13/I13</f>
        <v>1.4063238402798939</v>
      </c>
      <c r="Q13" s="56"/>
      <c r="R13" s="48"/>
    </row>
    <row r="14" spans="2:26" s="22" customFormat="1" ht="15.75" customHeight="1" x14ac:dyDescent="0.2">
      <c r="B14" s="49">
        <v>46082</v>
      </c>
      <c r="C14" s="50">
        <f>(Dental!C14)+('Dental-Vision'!C14)</f>
        <v>388</v>
      </c>
      <c r="D14" s="50">
        <f>(Dental!DE14)+('Dental-Vision'!D14)</f>
        <v>109</v>
      </c>
      <c r="E14" s="50"/>
      <c r="F14" s="50">
        <f>(Dental!F14)+('Dental-Vision'!F14)</f>
        <v>206</v>
      </c>
      <c r="G14" s="50">
        <f>(Dental!G14)+('Dental-Vision'!G14)</f>
        <v>723</v>
      </c>
      <c r="H14" s="51">
        <f>(Dental!H14)+('Dental-Vision'!H14)</f>
        <v>2999.95</v>
      </c>
      <c r="I14" s="52">
        <f>(Dental!I14)+('Dental-Vision'!I14)</f>
        <v>40149.789999999994</v>
      </c>
      <c r="J14" s="53">
        <f>(Dental!J14)+('Dental-Vision'!J14)</f>
        <v>239995.63</v>
      </c>
      <c r="K14" s="53">
        <f>(Dental!K14)+('Dental-Vision'!K14)</f>
        <v>86230.209999999992</v>
      </c>
      <c r="L14" s="54">
        <f>(Dental!L14)+('Dental-Vision'!L14)</f>
        <v>467</v>
      </c>
      <c r="M14" s="53">
        <f>(Dental!M14)+('Dental-Vision'!M14)</f>
        <v>-46080.42</v>
      </c>
      <c r="N14" s="55">
        <f t="shared" si="0"/>
        <v>2.1477126032290581</v>
      </c>
      <c r="Q14" s="56"/>
      <c r="R14" s="48"/>
    </row>
    <row r="15" spans="2:26" s="22" customFormat="1" ht="15.75" customHeight="1" x14ac:dyDescent="0.2">
      <c r="B15" s="49">
        <v>46113</v>
      </c>
      <c r="C15" s="50">
        <f>(Dental!C15)+('Dental-Vision'!C15)</f>
        <v>387</v>
      </c>
      <c r="D15" s="50">
        <f>(Dental!DE15)+('Dental-Vision'!D15)</f>
        <v>112</v>
      </c>
      <c r="E15" s="50"/>
      <c r="F15" s="50">
        <f>(Dental!F15)+('Dental-Vision'!F15)</f>
        <v>203</v>
      </c>
      <c r="G15" s="50">
        <f>(Dental!G15)+('Dental-Vision'!G15)</f>
        <v>721</v>
      </c>
      <c r="H15" s="51">
        <f>(Dental!H15)+('Dental-Vision'!H15)</f>
        <v>2992.1</v>
      </c>
      <c r="I15" s="52">
        <f>(Dental!I15)+('Dental-Vision'!I15)</f>
        <v>39949.68</v>
      </c>
      <c r="J15" s="53">
        <f>(Dental!J15)+('Dental-Vision'!J15)</f>
        <v>149056.68</v>
      </c>
      <c r="K15" s="53">
        <f>(Dental!K15)+('Dental-Vision'!K15)</f>
        <v>58836.93</v>
      </c>
      <c r="L15" s="54">
        <f>(Dental!L15)+('Dental-Vision'!L15)</f>
        <v>331</v>
      </c>
      <c r="M15" s="53">
        <f>(Dental!M15)+('Dental-Vision'!M15)</f>
        <v>-18887.250000000004</v>
      </c>
      <c r="N15" s="55">
        <f t="shared" si="0"/>
        <v>1.4727760022107812</v>
      </c>
      <c r="Q15" s="56"/>
      <c r="R15" s="48"/>
    </row>
    <row r="16" spans="2:26" s="22" customFormat="1" ht="15.75" customHeight="1" x14ac:dyDescent="0.2">
      <c r="B16" s="49">
        <v>46143</v>
      </c>
      <c r="C16" s="50">
        <f>(Dental!C16)+('Dental-Vision'!C16)</f>
        <v>388</v>
      </c>
      <c r="D16" s="50">
        <v>131</v>
      </c>
      <c r="E16" s="50"/>
      <c r="F16" s="50">
        <f>(Dental!F16)+('Dental-Vision'!F16)</f>
        <v>203</v>
      </c>
      <c r="G16" s="50">
        <f>(Dental!G16)+('Dental-Vision'!G16)</f>
        <v>722</v>
      </c>
      <c r="H16" s="51">
        <f>(Dental!H16)+('Dental-Vision'!H16)</f>
        <v>2996.35</v>
      </c>
      <c r="I16" s="52">
        <f>(Dental!I16)+('Dental-Vision'!I16)</f>
        <v>39981.26</v>
      </c>
      <c r="J16" s="53">
        <f>(Dental!J16)+('Dental-Vision'!J16)</f>
        <v>132426.70000000001</v>
      </c>
      <c r="K16" s="53">
        <f>(Dental!K16)+('Dental-Vision'!K16)</f>
        <v>43287.75</v>
      </c>
      <c r="L16" s="54">
        <f>(Dental!L16)+('Dental-Vision'!L16)</f>
        <v>283</v>
      </c>
      <c r="M16" s="53">
        <f>(Dental!M16)+('Dental-Vision'!M16)</f>
        <v>-3306.4900000000007</v>
      </c>
      <c r="N16" s="55">
        <f t="shared" si="0"/>
        <v>1.0827009954163525</v>
      </c>
      <c r="Q16" s="56"/>
      <c r="R16" s="48"/>
    </row>
    <row r="17" spans="2:18" s="22" customFormat="1" ht="15.75" customHeight="1" x14ac:dyDescent="0.2">
      <c r="B17" s="49">
        <v>46174</v>
      </c>
      <c r="C17" s="50">
        <f>(Dental!C17)+('Dental-Vision'!C17)</f>
        <v>388</v>
      </c>
      <c r="D17" s="50">
        <f>(Dental!DE17)+('Dental-Vision'!D17)</f>
        <v>115</v>
      </c>
      <c r="E17" s="50"/>
      <c r="F17" s="50">
        <f>(Dental!F17)+('Dental-Vision'!F17)</f>
        <v>199</v>
      </c>
      <c r="G17" s="50">
        <f>(Dental!G17)+('Dental-Vision'!G17)</f>
        <v>721</v>
      </c>
      <c r="H17" s="51">
        <f>(Dental!H17)+('Dental-Vision'!H17)</f>
        <v>2992.1</v>
      </c>
      <c r="I17" s="52">
        <f>(Dental!I17)+('Dental-Vision'!I17)</f>
        <v>39773.17</v>
      </c>
      <c r="J17" s="53">
        <f>(Dental!J17)+('Dental-Vision'!J17)</f>
        <v>136573.84</v>
      </c>
      <c r="K17" s="53">
        <f>(Dental!K17)+('Dental-Vision'!K17)</f>
        <v>52160.18</v>
      </c>
      <c r="L17" s="54">
        <f>(Dental!L17)+('Dental-Vision'!L17)</f>
        <v>339</v>
      </c>
      <c r="M17" s="53">
        <f>(Dental!M17)+('Dental-Vision'!M17)</f>
        <v>-12387.010000000002</v>
      </c>
      <c r="N17" s="55">
        <f t="shared" si="0"/>
        <v>1.3114413560699336</v>
      </c>
      <c r="Q17" s="56"/>
      <c r="R17" s="48"/>
    </row>
    <row r="18" spans="2:18" s="22" customFormat="1" ht="15.75" customHeight="1" x14ac:dyDescent="0.2">
      <c r="B18" s="49">
        <v>46204</v>
      </c>
      <c r="C18" s="50">
        <f>(Dental!C18)+('Dental-Vision'!C18)</f>
        <v>0</v>
      </c>
      <c r="D18" s="50">
        <f>(Dental!DE18)+('Dental-Vision'!D18)</f>
        <v>0</v>
      </c>
      <c r="E18" s="50"/>
      <c r="F18" s="50">
        <f>(Dental!F18)+('Dental-Vision'!F18)</f>
        <v>0</v>
      </c>
      <c r="G18" s="50">
        <f>(Dental!G18)+('Dental-Vision'!G18)</f>
        <v>0</v>
      </c>
      <c r="H18" s="51">
        <f>(Dental!H18)+('Dental-Vision'!H18)</f>
        <v>0</v>
      </c>
      <c r="I18" s="52">
        <f>(Dental!I18)+('Dental-Vision'!I18)</f>
        <v>0</v>
      </c>
      <c r="J18" s="53">
        <f>(Dental!J18)+('Dental-Vision'!J18)</f>
        <v>0</v>
      </c>
      <c r="K18" s="53">
        <f>(Dental!K18)+('Dental-Vision'!K18)</f>
        <v>0</v>
      </c>
      <c r="L18" s="54"/>
      <c r="M18" s="53">
        <f>(Dental!M18)+('Dental-Vision'!M18)</f>
        <v>0</v>
      </c>
      <c r="N18" s="55"/>
      <c r="Q18" s="56"/>
      <c r="R18" s="48"/>
    </row>
    <row r="19" spans="2:18" s="22" customFormat="1" ht="15.75" customHeight="1" x14ac:dyDescent="0.2">
      <c r="B19" s="49">
        <v>46235</v>
      </c>
      <c r="C19" s="50">
        <f>(Dental!C19)+('Dental-Vision'!C19)</f>
        <v>0</v>
      </c>
      <c r="D19" s="50">
        <f>(Dental!DE19)+('Dental-Vision'!D19)</f>
        <v>0</v>
      </c>
      <c r="E19" s="50"/>
      <c r="F19" s="50">
        <f>(Dental!F19)+('Dental-Vision'!F19)</f>
        <v>0</v>
      </c>
      <c r="G19" s="50">
        <f>(Dental!G19)+('Dental-Vision'!G19)</f>
        <v>0</v>
      </c>
      <c r="H19" s="51">
        <f>(Dental!H19)+('Dental-Vision'!H19)</f>
        <v>0</v>
      </c>
      <c r="I19" s="52">
        <f>(Dental!I19)+('Dental-Vision'!I19)</f>
        <v>0</v>
      </c>
      <c r="J19" s="53">
        <f>(Dental!J19)+('Dental-Vision'!J19)</f>
        <v>0</v>
      </c>
      <c r="K19" s="53">
        <f>(Dental!K19)+('Dental-Vision'!K19)</f>
        <v>0</v>
      </c>
      <c r="L19" s="54"/>
      <c r="M19" s="53">
        <f>(Dental!M19)+('Dental-Vision'!M19)</f>
        <v>0</v>
      </c>
      <c r="N19" s="55"/>
      <c r="Q19" s="56"/>
      <c r="R19" s="48"/>
    </row>
    <row r="20" spans="2:18" s="22" customFormat="1" ht="15.75" customHeight="1" x14ac:dyDescent="0.2">
      <c r="B20" s="49">
        <v>46266</v>
      </c>
      <c r="C20" s="50">
        <f>(Dental!C20)+('Dental-Vision'!C20)</f>
        <v>0</v>
      </c>
      <c r="D20" s="50">
        <f>(Dental!DE20)+('Dental-Vision'!D20)</f>
        <v>0</v>
      </c>
      <c r="E20" s="50"/>
      <c r="F20" s="50">
        <f>(Dental!F20)+('Dental-Vision'!F20)</f>
        <v>0</v>
      </c>
      <c r="G20" s="50">
        <f>(Dental!G20)+('Dental-Vision'!G20)</f>
        <v>0</v>
      </c>
      <c r="H20" s="51">
        <f>(Dental!H20)+('Dental-Vision'!H20)</f>
        <v>0</v>
      </c>
      <c r="I20" s="52">
        <f>(Dental!I20)+('Dental-Vision'!I20)</f>
        <v>0</v>
      </c>
      <c r="J20" s="53">
        <f>(Dental!J20)+('Dental-Vision'!J20)</f>
        <v>0</v>
      </c>
      <c r="K20" s="53">
        <f>(Dental!K20)+('Dental-Vision'!K20)</f>
        <v>0</v>
      </c>
      <c r="L20" s="54"/>
      <c r="M20" s="53">
        <f>(Dental!M20)+('Dental-Vision'!M20)</f>
        <v>0</v>
      </c>
      <c r="N20" s="55"/>
      <c r="Q20" s="56"/>
      <c r="R20" s="48"/>
    </row>
    <row r="21" spans="2:18" s="22" customFormat="1" ht="15.75" customHeight="1" x14ac:dyDescent="0.2">
      <c r="B21" s="49">
        <v>46296</v>
      </c>
      <c r="C21" s="50">
        <f>(Dental!C21)+('Dental-Vision'!C21)</f>
        <v>0</v>
      </c>
      <c r="D21" s="50">
        <f>(Dental!DE21)+('Dental-Vision'!D21)</f>
        <v>0</v>
      </c>
      <c r="E21" s="50"/>
      <c r="F21" s="50">
        <f>(Dental!F21)+('Dental-Vision'!F21)</f>
        <v>0</v>
      </c>
      <c r="G21" s="50">
        <f>(Dental!G21)+('Dental-Vision'!G21)</f>
        <v>0</v>
      </c>
      <c r="H21" s="51">
        <f>(Dental!H21)+('Dental-Vision'!H21)</f>
        <v>0</v>
      </c>
      <c r="I21" s="52">
        <f>(Dental!I21)+('Dental-Vision'!I21)</f>
        <v>0</v>
      </c>
      <c r="J21" s="53">
        <f>(Dental!J21)+('Dental-Vision'!J21)</f>
        <v>0</v>
      </c>
      <c r="K21" s="53">
        <f>(Dental!K21)+('Dental-Vision'!K21)</f>
        <v>0</v>
      </c>
      <c r="L21" s="99"/>
      <c r="M21" s="53">
        <f>(Dental!M21)+('Dental-Vision'!M21)</f>
        <v>0</v>
      </c>
      <c r="N21" s="100"/>
      <c r="Q21" s="56"/>
      <c r="R21" s="48"/>
    </row>
    <row r="22" spans="2:18" s="22" customFormat="1" ht="15.75" customHeight="1" x14ac:dyDescent="0.2">
      <c r="B22" s="49">
        <v>46327</v>
      </c>
      <c r="C22" s="50">
        <f>(Dental!C22)+('Dental-Vision'!C22)</f>
        <v>0</v>
      </c>
      <c r="D22" s="50">
        <f>(Dental!DE22)+('Dental-Vision'!D22)</f>
        <v>0</v>
      </c>
      <c r="E22" s="50"/>
      <c r="F22" s="50">
        <f>(Dental!F22)+('Dental-Vision'!F22)</f>
        <v>0</v>
      </c>
      <c r="G22" s="50">
        <f>(Dental!G22)+('Dental-Vision'!G22)</f>
        <v>0</v>
      </c>
      <c r="H22" s="51">
        <f>(Dental!H22)+('Dental-Vision'!H22)</f>
        <v>0</v>
      </c>
      <c r="I22" s="52">
        <f>(Dental!I22)+('Dental-Vision'!I22)</f>
        <v>0</v>
      </c>
      <c r="J22" s="53">
        <f>(Dental!J22)+('Dental-Vision'!J22)</f>
        <v>0</v>
      </c>
      <c r="K22" s="53">
        <f>(Dental!K22)+('Dental-Vision'!K22)</f>
        <v>0</v>
      </c>
      <c r="L22" s="54"/>
      <c r="M22" s="53">
        <f>(Dental!M22)+('Dental-Vision'!M22)</f>
        <v>0</v>
      </c>
      <c r="N22" s="55"/>
      <c r="Q22" s="56"/>
      <c r="R22" s="48"/>
    </row>
    <row r="23" spans="2:18" s="22" customFormat="1" ht="15.75" customHeight="1" x14ac:dyDescent="0.2">
      <c r="B23" s="49">
        <v>46357</v>
      </c>
      <c r="C23" s="50">
        <f>(Dental!C23)+('Dental-Vision'!C23)</f>
        <v>0</v>
      </c>
      <c r="D23" s="50">
        <f>(Dental!DE23)+('Dental-Vision'!D23)</f>
        <v>0</v>
      </c>
      <c r="E23" s="50"/>
      <c r="F23" s="50">
        <f>(Dental!F23)+('Dental-Vision'!F23)</f>
        <v>0</v>
      </c>
      <c r="G23" s="50">
        <f>(Dental!G23)+('Dental-Vision'!G23)</f>
        <v>0</v>
      </c>
      <c r="H23" s="51">
        <f>(Dental!H23)+('Dental-Vision'!H23)</f>
        <v>0</v>
      </c>
      <c r="I23" s="52">
        <f>(Dental!I23)+('Dental-Vision'!I23)</f>
        <v>0</v>
      </c>
      <c r="J23" s="53">
        <f>(Dental!J23)+('Dental-Vision'!J23)</f>
        <v>0</v>
      </c>
      <c r="K23" s="53">
        <f>(Dental!K23)+('Dental-Vision'!K23)</f>
        <v>0</v>
      </c>
      <c r="L23" s="99"/>
      <c r="M23" s="53">
        <f>(Dental!M23)+('Dental-Vision'!M23)</f>
        <v>0</v>
      </c>
      <c r="N23" s="100"/>
      <c r="Q23" s="56"/>
      <c r="R23" s="48"/>
    </row>
    <row r="24" spans="2:18" s="22" customFormat="1" ht="15.75" customHeight="1" thickBot="1" x14ac:dyDescent="0.25">
      <c r="B24" s="57"/>
      <c r="C24" s="58"/>
      <c r="D24" s="58"/>
      <c r="E24" s="58"/>
      <c r="F24" s="58"/>
      <c r="G24" s="59"/>
      <c r="H24" s="60"/>
      <c r="I24" s="61"/>
      <c r="J24" s="62"/>
      <c r="K24" s="63"/>
      <c r="L24" s="64"/>
      <c r="M24" s="63"/>
      <c r="N24" s="98"/>
    </row>
    <row r="25" spans="2:18" s="72" customFormat="1" ht="15.75" customHeight="1" thickBot="1" x14ac:dyDescent="0.3">
      <c r="B25" s="66" t="s">
        <v>23</v>
      </c>
      <c r="C25" s="67">
        <f>AVERAGEIF(C12:C23,"&gt;0")</f>
        <v>396.66666666666669</v>
      </c>
      <c r="D25" s="67">
        <f>AVERAGEIF(D12:D23,"&gt;0")</f>
        <v>118</v>
      </c>
      <c r="E25" s="67"/>
      <c r="F25" s="67">
        <f>AVERAGEIF(F12:F23,"&gt;0")</f>
        <v>210</v>
      </c>
      <c r="G25" s="67">
        <f>AVERAGEIF(G12:G23,"&gt;0")</f>
        <v>741</v>
      </c>
      <c r="H25" s="68">
        <f>SUM(H11:H23)</f>
        <v>18461.3</v>
      </c>
      <c r="I25" s="68">
        <f>SUM(I11:I23)</f>
        <v>246881.65000000002</v>
      </c>
      <c r="J25" s="69">
        <f>SUM(J11:J23)</f>
        <v>774386.74</v>
      </c>
      <c r="K25" s="70">
        <f>SUM(K11:K23)</f>
        <v>302356.08999999997</v>
      </c>
      <c r="L25" s="71">
        <f>SUM(L12:L23)</f>
        <v>1701</v>
      </c>
      <c r="M25" s="68">
        <f>SUM(M12:M23)</f>
        <v>-55474.44000000001</v>
      </c>
      <c r="N25" s="87">
        <f>K25/I25</f>
        <v>1.2247005397120441</v>
      </c>
    </row>
    <row r="26" spans="2:18" s="22" customFormat="1" ht="15.75" customHeight="1" x14ac:dyDescent="0.2">
      <c r="J26" s="73"/>
      <c r="L26" s="74"/>
    </row>
    <row r="27" spans="2:18" s="22" customFormat="1" ht="15.75" customHeight="1" x14ac:dyDescent="0.25">
      <c r="H27" s="75"/>
      <c r="J27" s="111" t="s">
        <v>25</v>
      </c>
      <c r="K27" s="112"/>
      <c r="L27" s="112"/>
      <c r="M27" s="112"/>
      <c r="N27" s="113"/>
    </row>
    <row r="28" spans="2:18" s="22" customFormat="1" ht="15.75" customHeight="1" x14ac:dyDescent="0.2">
      <c r="H28" s="73"/>
      <c r="J28" s="108" t="s">
        <v>28</v>
      </c>
      <c r="K28" s="109"/>
      <c r="L28" s="109"/>
      <c r="M28" s="110"/>
      <c r="N28" s="76">
        <f>J25/L25</f>
        <v>455.25381540270428</v>
      </c>
    </row>
    <row r="29" spans="2:18" s="22" customFormat="1" ht="15.75" customHeight="1" x14ac:dyDescent="0.2">
      <c r="H29" s="77"/>
      <c r="J29" s="108" t="s">
        <v>30</v>
      </c>
      <c r="K29" s="109"/>
      <c r="L29" s="109"/>
      <c r="M29" s="110"/>
      <c r="N29" s="76">
        <f>K25/L25</f>
        <v>177.75196355085242</v>
      </c>
    </row>
    <row r="30" spans="2:18" s="22" customFormat="1" ht="15.75" customHeight="1" x14ac:dyDescent="0.2">
      <c r="H30" s="77"/>
      <c r="J30" s="108" t="s">
        <v>31</v>
      </c>
      <c r="K30" s="109"/>
      <c r="L30" s="109"/>
      <c r="M30" s="110"/>
      <c r="N30" s="78">
        <f>((L25/COUNTIF(G12:G23,"&gt;0"))*12)/G25</f>
        <v>4.5910931174089065</v>
      </c>
    </row>
    <row r="31" spans="2:18" s="22" customFormat="1" ht="15.75" customHeight="1" x14ac:dyDescent="0.2">
      <c r="H31" s="77"/>
      <c r="J31" s="108" t="s">
        <v>32</v>
      </c>
      <c r="K31" s="109"/>
      <c r="L31" s="109"/>
      <c r="M31" s="110"/>
      <c r="N31" s="79">
        <f>K25/J25</f>
        <v>0.39044585138428373</v>
      </c>
    </row>
    <row r="32" spans="2:18" s="22" customFormat="1" ht="15.75" customHeight="1" x14ac:dyDescent="0.2">
      <c r="H32" s="77"/>
      <c r="J32" s="108" t="s">
        <v>34</v>
      </c>
      <c r="K32" s="109"/>
      <c r="L32" s="109"/>
      <c r="M32" s="110"/>
      <c r="N32" s="76">
        <f>K25/G25/(COUNTIF(G12:G23,"&gt;0"))</f>
        <v>68.006318038686445</v>
      </c>
    </row>
    <row r="33" spans="2:14" s="22" customFormat="1" ht="15.75" customHeight="1" x14ac:dyDescent="0.2">
      <c r="H33" s="77"/>
      <c r="J33" s="80"/>
      <c r="K33" s="80"/>
      <c r="L33" s="80"/>
      <c r="M33" s="80"/>
      <c r="N33" s="81"/>
    </row>
    <row r="34" spans="2:14" s="22" customFormat="1" ht="15.75" customHeight="1" x14ac:dyDescent="0.2">
      <c r="H34" s="82"/>
      <c r="J34" s="80"/>
      <c r="K34" s="80"/>
      <c r="L34" s="80"/>
      <c r="M34" s="80"/>
      <c r="N34" s="81"/>
    </row>
    <row r="35" spans="2:14" s="22" customFormat="1" ht="15.75" customHeight="1" x14ac:dyDescent="0.25">
      <c r="J35" s="126" t="s">
        <v>39</v>
      </c>
      <c r="K35" s="127"/>
      <c r="L35" s="127"/>
      <c r="M35" s="127"/>
      <c r="N35" s="128"/>
    </row>
    <row r="36" spans="2:14" s="22" customFormat="1" ht="15.75" customHeight="1" x14ac:dyDescent="0.25">
      <c r="H36" s="75"/>
      <c r="J36" s="129" t="s">
        <v>28</v>
      </c>
      <c r="K36" s="130"/>
      <c r="L36" s="130"/>
      <c r="M36" s="131"/>
      <c r="N36" s="94">
        <v>357.33</v>
      </c>
    </row>
    <row r="37" spans="2:14" s="22" customFormat="1" ht="15.75" customHeight="1" x14ac:dyDescent="0.2">
      <c r="H37" s="83"/>
      <c r="J37" s="129" t="s">
        <v>30</v>
      </c>
      <c r="K37" s="130"/>
      <c r="L37" s="130"/>
      <c r="M37" s="131"/>
      <c r="N37" s="94">
        <v>203.87</v>
      </c>
    </row>
    <row r="38" spans="2:14" s="22" customFormat="1" ht="15.75" customHeight="1" x14ac:dyDescent="0.2">
      <c r="H38" s="83"/>
      <c r="J38" s="129" t="s">
        <v>31</v>
      </c>
      <c r="K38" s="130"/>
      <c r="L38" s="130"/>
      <c r="M38" s="131"/>
      <c r="N38" s="95">
        <v>3.33</v>
      </c>
    </row>
    <row r="39" spans="2:14" s="22" customFormat="1" ht="15.75" customHeight="1" x14ac:dyDescent="0.2">
      <c r="H39" s="83"/>
      <c r="J39" s="129" t="s">
        <v>32</v>
      </c>
      <c r="K39" s="130"/>
      <c r="L39" s="130"/>
      <c r="M39" s="131"/>
      <c r="N39" s="96">
        <v>0.5706</v>
      </c>
    </row>
    <row r="40" spans="2:14" s="22" customFormat="1" ht="15.75" customHeight="1" x14ac:dyDescent="0.2">
      <c r="H40" s="83"/>
      <c r="J40" s="129" t="s">
        <v>34</v>
      </c>
      <c r="K40" s="130"/>
      <c r="L40" s="130"/>
      <c r="M40" s="131"/>
      <c r="N40" s="94">
        <v>56.57</v>
      </c>
    </row>
    <row r="41" spans="2:14" s="22" customFormat="1" ht="15.75" customHeight="1" x14ac:dyDescent="0.25">
      <c r="H41" s="83"/>
      <c r="J41" s="105" t="s">
        <v>40</v>
      </c>
      <c r="K41" s="106"/>
      <c r="L41" s="106"/>
      <c r="M41" s="107"/>
      <c r="N41" s="97">
        <v>31069.07</v>
      </c>
    </row>
    <row r="42" spans="2:14" s="22" customFormat="1" ht="10.15" customHeight="1" x14ac:dyDescent="0.2">
      <c r="J42" s="73"/>
      <c r="L42" s="74"/>
    </row>
    <row r="43" spans="2:14" s="22" customFormat="1" ht="10.15" customHeight="1" x14ac:dyDescent="0.2">
      <c r="B43" s="117" t="s">
        <v>53</v>
      </c>
      <c r="C43" s="118"/>
      <c r="D43" s="118"/>
      <c r="E43" s="118"/>
      <c r="F43" s="118"/>
      <c r="G43" s="118"/>
      <c r="H43" s="118"/>
      <c r="I43" s="118"/>
      <c r="J43" s="118"/>
      <c r="K43" s="118"/>
      <c r="L43" s="118"/>
      <c r="M43" s="118"/>
      <c r="N43" s="119"/>
    </row>
    <row r="44" spans="2:14" s="22" customFormat="1" ht="10.15" customHeight="1" x14ac:dyDescent="0.2">
      <c r="B44" s="120"/>
      <c r="C44" s="121"/>
      <c r="D44" s="121"/>
      <c r="E44" s="121"/>
      <c r="F44" s="121"/>
      <c r="G44" s="121"/>
      <c r="H44" s="121"/>
      <c r="I44" s="121"/>
      <c r="J44" s="121"/>
      <c r="K44" s="121"/>
      <c r="L44" s="121"/>
      <c r="M44" s="121"/>
      <c r="N44" s="122"/>
    </row>
    <row r="45" spans="2:14" s="22" customFormat="1" ht="10.15" customHeight="1" x14ac:dyDescent="0.2">
      <c r="B45" s="120"/>
      <c r="C45" s="121"/>
      <c r="D45" s="121"/>
      <c r="E45" s="121"/>
      <c r="F45" s="121"/>
      <c r="G45" s="121"/>
      <c r="H45" s="121"/>
      <c r="I45" s="121"/>
      <c r="J45" s="121"/>
      <c r="K45" s="121"/>
      <c r="L45" s="121"/>
      <c r="M45" s="121"/>
      <c r="N45" s="122"/>
    </row>
    <row r="46" spans="2:14" s="22" customFormat="1" ht="10.15" customHeight="1" x14ac:dyDescent="0.2">
      <c r="B46" s="120"/>
      <c r="C46" s="121"/>
      <c r="D46" s="121"/>
      <c r="E46" s="121"/>
      <c r="F46" s="121"/>
      <c r="G46" s="121"/>
      <c r="H46" s="121"/>
      <c r="I46" s="121"/>
      <c r="J46" s="121"/>
      <c r="K46" s="121"/>
      <c r="L46" s="121"/>
      <c r="M46" s="121"/>
      <c r="N46" s="122"/>
    </row>
    <row r="47" spans="2:14" s="22" customFormat="1" ht="10.15" customHeight="1" x14ac:dyDescent="0.2">
      <c r="B47" s="120"/>
      <c r="C47" s="121"/>
      <c r="D47" s="121"/>
      <c r="E47" s="121"/>
      <c r="F47" s="121"/>
      <c r="G47" s="121"/>
      <c r="H47" s="121"/>
      <c r="I47" s="121"/>
      <c r="J47" s="121"/>
      <c r="K47" s="121"/>
      <c r="L47" s="121"/>
      <c r="M47" s="121"/>
      <c r="N47" s="122"/>
    </row>
    <row r="48" spans="2:14" s="22" customFormat="1" ht="10.15" customHeight="1" x14ac:dyDescent="0.2">
      <c r="B48" s="120"/>
      <c r="C48" s="121"/>
      <c r="D48" s="121"/>
      <c r="E48" s="121"/>
      <c r="F48" s="121"/>
      <c r="G48" s="121"/>
      <c r="H48" s="121"/>
      <c r="I48" s="121"/>
      <c r="J48" s="121"/>
      <c r="K48" s="121"/>
      <c r="L48" s="121"/>
      <c r="M48" s="121"/>
      <c r="N48" s="122"/>
    </row>
    <row r="49" spans="2:14" s="22" customFormat="1" ht="10.15" customHeight="1" x14ac:dyDescent="0.2">
      <c r="B49" s="123"/>
      <c r="C49" s="124"/>
      <c r="D49" s="124"/>
      <c r="E49" s="124"/>
      <c r="F49" s="124"/>
      <c r="G49" s="124"/>
      <c r="H49" s="124"/>
      <c r="I49" s="124"/>
      <c r="J49" s="124"/>
      <c r="K49" s="124"/>
      <c r="L49" s="124"/>
      <c r="M49" s="124"/>
      <c r="N49" s="125"/>
    </row>
  </sheetData>
  <mergeCells count="27">
    <mergeCell ref="B1:N1"/>
    <mergeCell ref="B2:N2"/>
    <mergeCell ref="B5:C5"/>
    <mergeCell ref="D5:G5"/>
    <mergeCell ref="K5:L5"/>
    <mergeCell ref="M5:N5"/>
    <mergeCell ref="B43:N49"/>
    <mergeCell ref="J35:N35"/>
    <mergeCell ref="J36:M36"/>
    <mergeCell ref="J37:M37"/>
    <mergeCell ref="J38:M38"/>
    <mergeCell ref="J39:M39"/>
    <mergeCell ref="J40:M40"/>
    <mergeCell ref="B6:C6"/>
    <mergeCell ref="D6:G6"/>
    <mergeCell ref="B8:G8"/>
    <mergeCell ref="J41:M41"/>
    <mergeCell ref="K6:L6"/>
    <mergeCell ref="M6:N6"/>
    <mergeCell ref="J32:M32"/>
    <mergeCell ref="J27:N27"/>
    <mergeCell ref="J28:M28"/>
    <mergeCell ref="J29:M29"/>
    <mergeCell ref="J30:M30"/>
    <mergeCell ref="J31:M31"/>
    <mergeCell ref="I8:L8"/>
    <mergeCell ref="M8:N8"/>
  </mergeCells>
  <phoneticPr fontId="0" type="noConversion"/>
  <pageMargins left="0.7" right="0.7" top="0.75" bottom="0.75" header="0.3" footer="0.3"/>
  <pageSetup scale="6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Z50"/>
  <sheetViews>
    <sheetView topLeftCell="B3" workbookViewId="0">
      <selection activeCell="Q22" sqref="Q22"/>
    </sheetView>
  </sheetViews>
  <sheetFormatPr defaultColWidth="9.140625" defaultRowHeight="10.15" customHeight="1" x14ac:dyDescent="0.2"/>
  <cols>
    <col min="1" max="1" width="5" style="17" customWidth="1"/>
    <col min="2" max="2" width="14.7109375" style="17"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32" t="str">
        <f>Summary!B1</f>
        <v>Jefferson County Schools</v>
      </c>
      <c r="C1" s="132"/>
      <c r="D1" s="132"/>
      <c r="E1" s="132"/>
      <c r="F1" s="132"/>
      <c r="G1" s="132"/>
      <c r="H1" s="132"/>
      <c r="I1" s="132"/>
      <c r="J1" s="132"/>
      <c r="K1" s="132"/>
      <c r="L1" s="132"/>
      <c r="M1" s="132"/>
      <c r="N1" s="132"/>
    </row>
    <row r="2" spans="2:26" s="1" customFormat="1" ht="20.25" customHeight="1" x14ac:dyDescent="0.25">
      <c r="B2" s="133" t="str">
        <f>Summary!B2</f>
        <v>Monthly Performance Report - Budgeted vs Actual Claims Paid</v>
      </c>
      <c r="C2" s="133"/>
      <c r="D2" s="133"/>
      <c r="E2" s="133"/>
      <c r="F2" s="133"/>
      <c r="G2" s="133"/>
      <c r="H2" s="133"/>
      <c r="I2" s="133"/>
      <c r="J2" s="133"/>
      <c r="K2" s="133"/>
      <c r="L2" s="133"/>
      <c r="M2" s="133"/>
      <c r="N2" s="133"/>
      <c r="O2" s="3"/>
      <c r="P2" s="3"/>
      <c r="Q2" s="4"/>
      <c r="R2" s="3"/>
      <c r="S2" s="3"/>
      <c r="T2" s="3"/>
      <c r="U2" s="3"/>
      <c r="V2" s="3"/>
      <c r="W2" s="3"/>
      <c r="X2" s="3"/>
      <c r="Y2" s="3"/>
      <c r="Z2" s="3"/>
    </row>
    <row r="3" spans="2:26" s="1" customFormat="1" ht="20.25" customHeight="1" x14ac:dyDescent="0.25">
      <c r="G3" s="5" t="s">
        <v>0</v>
      </c>
      <c r="H3" s="6">
        <f>Summary!H3</f>
        <v>46023</v>
      </c>
      <c r="I3" s="2" t="s">
        <v>1</v>
      </c>
      <c r="J3" s="6">
        <f>Summary!J3</f>
        <v>46387</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01" t="s">
        <v>2</v>
      </c>
      <c r="C5" s="101"/>
      <c r="D5" s="102" t="s">
        <v>43</v>
      </c>
      <c r="E5" s="102"/>
      <c r="F5" s="102"/>
      <c r="G5" s="102"/>
      <c r="H5" s="15"/>
      <c r="I5" s="16"/>
      <c r="J5" s="16"/>
      <c r="K5" s="101" t="s">
        <v>3</v>
      </c>
      <c r="L5" s="101"/>
      <c r="M5" s="102" t="s">
        <v>45</v>
      </c>
      <c r="N5" s="102"/>
    </row>
    <row r="6" spans="2:26" s="1" customFormat="1" ht="20.25" customHeight="1" x14ac:dyDescent="0.25">
      <c r="B6" s="101" t="s">
        <v>4</v>
      </c>
      <c r="C6" s="101"/>
      <c r="D6" s="102" t="s">
        <v>44</v>
      </c>
      <c r="E6" s="102"/>
      <c r="F6" s="102"/>
      <c r="G6" s="102"/>
      <c r="H6" s="15"/>
      <c r="I6" s="12"/>
      <c r="J6" s="12"/>
      <c r="K6" s="101" t="s">
        <v>5</v>
      </c>
      <c r="L6" s="101"/>
      <c r="M6" s="102" t="s">
        <v>46</v>
      </c>
      <c r="N6" s="102"/>
    </row>
    <row r="7" spans="2:26" ht="21" customHeight="1" thickBot="1" x14ac:dyDescent="0.25">
      <c r="C7" s="18"/>
      <c r="D7" s="18"/>
      <c r="E7" s="18"/>
    </row>
    <row r="8" spans="2:26" s="22" customFormat="1" ht="15.75" customHeight="1" thickBot="1" x14ac:dyDescent="0.25">
      <c r="B8" s="103" t="s">
        <v>6</v>
      </c>
      <c r="C8" s="104"/>
      <c r="D8" s="104"/>
      <c r="E8" s="104"/>
      <c r="F8" s="104"/>
      <c r="G8" s="104"/>
      <c r="H8" s="21" t="s">
        <v>7</v>
      </c>
      <c r="I8" s="114" t="s">
        <v>8</v>
      </c>
      <c r="J8" s="114"/>
      <c r="K8" s="114"/>
      <c r="L8" s="115"/>
      <c r="M8" s="116" t="s">
        <v>9</v>
      </c>
      <c r="N8" s="115"/>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38</v>
      </c>
      <c r="E10" s="32"/>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44"/>
      <c r="K11" s="45"/>
      <c r="L11" s="46"/>
      <c r="M11" s="84"/>
      <c r="N11" s="47"/>
      <c r="R11" s="48"/>
    </row>
    <row r="12" spans="2:26" s="22" customFormat="1" ht="15.75" customHeight="1" x14ac:dyDescent="0.2">
      <c r="B12" s="49">
        <f>Summary!B12</f>
        <v>46023</v>
      </c>
      <c r="C12" s="50">
        <v>55</v>
      </c>
      <c r="D12" s="50">
        <f>13+7</f>
        <v>20</v>
      </c>
      <c r="E12" s="50"/>
      <c r="F12" s="50">
        <v>37</v>
      </c>
      <c r="G12" s="85">
        <f>SUM(C12:F12)</f>
        <v>112</v>
      </c>
      <c r="H12" s="51">
        <f>(C12*$E$29)+(D12*$E$30)+(E12*$E$31)+(F12*$E$32)</f>
        <v>403.20000000000005</v>
      </c>
      <c r="I12" s="52">
        <f>(C12*$C$29)+(D12*$C$30)+(E12*$C$31)+(F12*$C$32)</f>
        <v>6210.51</v>
      </c>
      <c r="J12" s="53">
        <v>6787.03</v>
      </c>
      <c r="K12" s="53">
        <v>5020.01</v>
      </c>
      <c r="L12" s="85">
        <v>26</v>
      </c>
      <c r="M12" s="52">
        <f>I12-K12</f>
        <v>1190.5</v>
      </c>
      <c r="N12" s="55">
        <f>K12/I12</f>
        <v>0.80830881843842128</v>
      </c>
      <c r="Q12" s="48"/>
      <c r="R12" s="48"/>
    </row>
    <row r="13" spans="2:26" s="22" customFormat="1" ht="15.75" customHeight="1" x14ac:dyDescent="0.2">
      <c r="B13" s="49">
        <f>Summary!B13</f>
        <v>46054</v>
      </c>
      <c r="C13" s="50">
        <v>55</v>
      </c>
      <c r="D13" s="50">
        <f>13+7</f>
        <v>20</v>
      </c>
      <c r="E13" s="50"/>
      <c r="F13" s="50">
        <v>36</v>
      </c>
      <c r="G13" s="85">
        <f t="shared" ref="G13:G23" si="0">SUM(C13:F13)</f>
        <v>111</v>
      </c>
      <c r="H13" s="51">
        <f t="shared" ref="H13:H23" si="1">(C13*$E$29)+(D13*$E$30)+(E13*$E$31)+(F13*$E$32)</f>
        <v>399.6</v>
      </c>
      <c r="I13" s="52">
        <f t="shared" ref="I13:I23" si="2">(C13*$C$29)+(D13*$C$30)+(E13*$C$31)+(F13*$C$32)</f>
        <v>6119.5300000000007</v>
      </c>
      <c r="J13" s="53">
        <v>13065.96</v>
      </c>
      <c r="K13" s="53">
        <v>6037.33</v>
      </c>
      <c r="L13" s="85">
        <v>32</v>
      </c>
      <c r="M13" s="52">
        <f t="shared" ref="M13:M23" si="3">I13-K13</f>
        <v>82.200000000000728</v>
      </c>
      <c r="N13" s="55">
        <f t="shared" ref="N13:N17" si="4">K13/I13</f>
        <v>0.98656759587746101</v>
      </c>
      <c r="Q13" s="56"/>
      <c r="R13" s="48"/>
    </row>
    <row r="14" spans="2:26" s="22" customFormat="1" ht="15.75" customHeight="1" x14ac:dyDescent="0.2">
      <c r="B14" s="49">
        <f>Summary!B14</f>
        <v>46082</v>
      </c>
      <c r="C14" s="50">
        <v>57</v>
      </c>
      <c r="D14" s="50">
        <f>7+13</f>
        <v>20</v>
      </c>
      <c r="E14" s="50"/>
      <c r="F14" s="50">
        <v>35</v>
      </c>
      <c r="G14" s="85">
        <f t="shared" si="0"/>
        <v>112</v>
      </c>
      <c r="H14" s="51">
        <f t="shared" si="1"/>
        <v>403.20000000000005</v>
      </c>
      <c r="I14" s="52">
        <f t="shared" si="2"/>
        <v>6089.09</v>
      </c>
      <c r="J14" s="53">
        <v>37068.17</v>
      </c>
      <c r="K14" s="53">
        <v>14763.98</v>
      </c>
      <c r="L14" s="85">
        <v>62</v>
      </c>
      <c r="M14" s="52">
        <f t="shared" si="3"/>
        <v>-8674.89</v>
      </c>
      <c r="N14" s="55">
        <f t="shared" si="4"/>
        <v>2.4246611562647291</v>
      </c>
      <c r="Q14" s="56"/>
      <c r="R14" s="48"/>
    </row>
    <row r="15" spans="2:26" s="22" customFormat="1" ht="15.75" customHeight="1" x14ac:dyDescent="0.2">
      <c r="B15" s="49">
        <f>Summary!B15</f>
        <v>46113</v>
      </c>
      <c r="C15" s="50">
        <v>57</v>
      </c>
      <c r="D15" s="50">
        <v>19</v>
      </c>
      <c r="E15" s="50"/>
      <c r="F15" s="50">
        <v>35</v>
      </c>
      <c r="G15" s="85">
        <f t="shared" si="0"/>
        <v>111</v>
      </c>
      <c r="H15" s="51">
        <f t="shared" si="1"/>
        <v>399.6</v>
      </c>
      <c r="I15" s="52">
        <f t="shared" si="2"/>
        <v>6030.12</v>
      </c>
      <c r="J15" s="53">
        <v>16030.83</v>
      </c>
      <c r="K15" s="53">
        <v>5936.96</v>
      </c>
      <c r="L15" s="85">
        <v>34</v>
      </c>
      <c r="M15" s="52">
        <f t="shared" si="3"/>
        <v>93.159999999999854</v>
      </c>
      <c r="N15" s="55">
        <f t="shared" si="4"/>
        <v>0.98455088787619482</v>
      </c>
      <c r="Q15" s="56"/>
      <c r="R15" s="48"/>
    </row>
    <row r="16" spans="2:26" s="22" customFormat="1" ht="15.75" customHeight="1" x14ac:dyDescent="0.2">
      <c r="B16" s="49">
        <f>Summary!B16</f>
        <v>46143</v>
      </c>
      <c r="C16" s="50">
        <v>57</v>
      </c>
      <c r="D16" s="50">
        <v>19</v>
      </c>
      <c r="E16" s="50"/>
      <c r="F16" s="50">
        <v>35</v>
      </c>
      <c r="G16" s="85">
        <f t="shared" si="0"/>
        <v>111</v>
      </c>
      <c r="H16" s="51">
        <f t="shared" si="1"/>
        <v>399.6</v>
      </c>
      <c r="I16" s="52">
        <f t="shared" si="2"/>
        <v>6030.12</v>
      </c>
      <c r="J16" s="53">
        <v>23550.080000000002</v>
      </c>
      <c r="K16" s="53">
        <v>9838.07</v>
      </c>
      <c r="L16" s="85">
        <v>47</v>
      </c>
      <c r="M16" s="52">
        <f t="shared" si="3"/>
        <v>-3807.95</v>
      </c>
      <c r="N16" s="55">
        <f t="shared" si="4"/>
        <v>1.6314882622568041</v>
      </c>
      <c r="Q16" s="56"/>
      <c r="R16" s="48"/>
    </row>
    <row r="17" spans="2:18" s="22" customFormat="1" ht="15.75" customHeight="1" x14ac:dyDescent="0.2">
      <c r="B17" s="49">
        <f>Summary!B17</f>
        <v>46174</v>
      </c>
      <c r="C17" s="50">
        <v>57</v>
      </c>
      <c r="D17" s="50">
        <v>19</v>
      </c>
      <c r="E17" s="50"/>
      <c r="F17" s="50">
        <v>35</v>
      </c>
      <c r="G17" s="85">
        <f t="shared" si="0"/>
        <v>111</v>
      </c>
      <c r="H17" s="51">
        <f t="shared" si="1"/>
        <v>399.6</v>
      </c>
      <c r="I17" s="52">
        <f t="shared" si="2"/>
        <v>6030.12</v>
      </c>
      <c r="J17" s="53">
        <v>25124.23</v>
      </c>
      <c r="K17" s="53">
        <v>8230.08</v>
      </c>
      <c r="L17" s="85">
        <v>53</v>
      </c>
      <c r="M17" s="52">
        <f t="shared" si="3"/>
        <v>-2199.96</v>
      </c>
      <c r="N17" s="55">
        <f t="shared" si="4"/>
        <v>1.3648285606256592</v>
      </c>
      <c r="Q17" s="56"/>
      <c r="R17" s="48"/>
    </row>
    <row r="18" spans="2:18" s="22" customFormat="1" ht="15.75" customHeight="1" x14ac:dyDescent="0.2">
      <c r="B18" s="49">
        <f>Summary!B18</f>
        <v>46204</v>
      </c>
      <c r="C18" s="50"/>
      <c r="D18" s="50"/>
      <c r="E18" s="50"/>
      <c r="F18" s="50"/>
      <c r="G18" s="85">
        <f t="shared" si="0"/>
        <v>0</v>
      </c>
      <c r="H18" s="51">
        <f t="shared" si="1"/>
        <v>0</v>
      </c>
      <c r="I18" s="52">
        <f t="shared" si="2"/>
        <v>0</v>
      </c>
      <c r="J18" s="53"/>
      <c r="K18" s="53"/>
      <c r="L18" s="85"/>
      <c r="M18" s="52">
        <f t="shared" si="3"/>
        <v>0</v>
      </c>
      <c r="N18" s="55"/>
      <c r="Q18" s="56"/>
      <c r="R18" s="48"/>
    </row>
    <row r="19" spans="2:18" s="22" customFormat="1" ht="15.75" customHeight="1" x14ac:dyDescent="0.2">
      <c r="B19" s="49">
        <f>Summary!B19</f>
        <v>46235</v>
      </c>
      <c r="C19" s="50"/>
      <c r="D19" s="50"/>
      <c r="E19" s="50"/>
      <c r="F19" s="50"/>
      <c r="G19" s="85">
        <f t="shared" si="0"/>
        <v>0</v>
      </c>
      <c r="H19" s="51">
        <f t="shared" si="1"/>
        <v>0</v>
      </c>
      <c r="I19" s="52">
        <f t="shared" si="2"/>
        <v>0</v>
      </c>
      <c r="J19" s="53"/>
      <c r="K19" s="53"/>
      <c r="L19" s="85"/>
      <c r="M19" s="52">
        <f t="shared" si="3"/>
        <v>0</v>
      </c>
      <c r="N19" s="55"/>
      <c r="Q19" s="56"/>
      <c r="R19" s="48"/>
    </row>
    <row r="20" spans="2:18" s="22" customFormat="1" ht="15.75" customHeight="1" x14ac:dyDescent="0.2">
      <c r="B20" s="49">
        <f>Summary!B20</f>
        <v>46266</v>
      </c>
      <c r="C20" s="50"/>
      <c r="D20" s="50"/>
      <c r="E20" s="50"/>
      <c r="F20" s="50"/>
      <c r="G20" s="85">
        <f t="shared" si="0"/>
        <v>0</v>
      </c>
      <c r="H20" s="51">
        <f t="shared" si="1"/>
        <v>0</v>
      </c>
      <c r="I20" s="52">
        <f t="shared" si="2"/>
        <v>0</v>
      </c>
      <c r="J20" s="53"/>
      <c r="K20" s="53"/>
      <c r="L20" s="85"/>
      <c r="M20" s="52">
        <f t="shared" si="3"/>
        <v>0</v>
      </c>
      <c r="N20" s="55"/>
      <c r="Q20" s="56"/>
      <c r="R20" s="48"/>
    </row>
    <row r="21" spans="2:18" s="22" customFormat="1" ht="15.75" customHeight="1" x14ac:dyDescent="0.2">
      <c r="B21" s="49">
        <f>Summary!B21</f>
        <v>46296</v>
      </c>
      <c r="C21" s="50"/>
      <c r="D21" s="50"/>
      <c r="E21" s="50"/>
      <c r="F21" s="50"/>
      <c r="G21" s="85">
        <f t="shared" si="0"/>
        <v>0</v>
      </c>
      <c r="H21" s="51">
        <f t="shared" si="1"/>
        <v>0</v>
      </c>
      <c r="I21" s="52">
        <f t="shared" si="2"/>
        <v>0</v>
      </c>
      <c r="J21" s="53"/>
      <c r="K21" s="53"/>
      <c r="L21" s="85"/>
      <c r="M21" s="52">
        <f t="shared" si="3"/>
        <v>0</v>
      </c>
      <c r="N21" s="100"/>
      <c r="Q21" s="56"/>
      <c r="R21" s="48"/>
    </row>
    <row r="22" spans="2:18" s="22" customFormat="1" ht="15.75" customHeight="1" x14ac:dyDescent="0.2">
      <c r="B22" s="49">
        <f>Summary!B22</f>
        <v>46327</v>
      </c>
      <c r="C22" s="50"/>
      <c r="D22" s="50"/>
      <c r="E22" s="50"/>
      <c r="F22" s="50"/>
      <c r="G22" s="85">
        <f t="shared" si="0"/>
        <v>0</v>
      </c>
      <c r="H22" s="51">
        <f t="shared" si="1"/>
        <v>0</v>
      </c>
      <c r="I22" s="52">
        <f t="shared" si="2"/>
        <v>0</v>
      </c>
      <c r="J22" s="53"/>
      <c r="K22" s="53"/>
      <c r="L22" s="85"/>
      <c r="M22" s="52">
        <f t="shared" si="3"/>
        <v>0</v>
      </c>
      <c r="N22" s="55"/>
      <c r="Q22" s="56"/>
      <c r="R22" s="48"/>
    </row>
    <row r="23" spans="2:18" s="22" customFormat="1" ht="15.75" customHeight="1" x14ac:dyDescent="0.2">
      <c r="B23" s="49">
        <f>Summary!B23</f>
        <v>46357</v>
      </c>
      <c r="C23" s="50"/>
      <c r="D23" s="50"/>
      <c r="E23" s="50"/>
      <c r="F23" s="50"/>
      <c r="G23" s="85">
        <f t="shared" si="0"/>
        <v>0</v>
      </c>
      <c r="H23" s="51">
        <f t="shared" si="1"/>
        <v>0</v>
      </c>
      <c r="I23" s="52">
        <f t="shared" si="2"/>
        <v>0</v>
      </c>
      <c r="J23" s="53"/>
      <c r="K23" s="53"/>
      <c r="L23" s="85"/>
      <c r="M23" s="52">
        <f t="shared" si="3"/>
        <v>0</v>
      </c>
      <c r="N23" s="100"/>
      <c r="Q23" s="56"/>
      <c r="R23" s="48"/>
    </row>
    <row r="24" spans="2:18" s="22" customFormat="1" ht="15.75" customHeight="1" thickBot="1" x14ac:dyDescent="0.25">
      <c r="B24" s="57"/>
      <c r="C24" s="58"/>
      <c r="D24" s="58"/>
      <c r="E24" s="58"/>
      <c r="F24" s="58"/>
      <c r="G24" s="59"/>
      <c r="H24" s="60"/>
      <c r="I24" s="61"/>
      <c r="J24" s="62"/>
      <c r="K24" s="63"/>
      <c r="L24" s="64"/>
      <c r="M24" s="86"/>
      <c r="N24" s="65"/>
    </row>
    <row r="25" spans="2:18" s="72" customFormat="1" ht="15.75" customHeight="1" thickBot="1" x14ac:dyDescent="0.3">
      <c r="B25" s="66" t="s">
        <v>23</v>
      </c>
      <c r="C25" s="67">
        <f>AVERAGEIF(C12:C23,"&gt;0")</f>
        <v>56.333333333333336</v>
      </c>
      <c r="D25" s="67">
        <f>AVERAGEIF(D12:D23,"&gt;0")</f>
        <v>19.5</v>
      </c>
      <c r="E25" s="67"/>
      <c r="F25" s="67">
        <f>AVERAGEIF(F12:F23,"&gt;0")</f>
        <v>35.5</v>
      </c>
      <c r="G25" s="67">
        <f>AVERAGEIF(G12:G23,"&gt;0")</f>
        <v>111.33333333333333</v>
      </c>
      <c r="H25" s="68">
        <f>SUM(H11:H23)</f>
        <v>2404.7999999999997</v>
      </c>
      <c r="I25" s="68">
        <f>SUM(I11:I23)</f>
        <v>36509.49</v>
      </c>
      <c r="J25" s="69">
        <f>SUM(J11:J23)</f>
        <v>121626.29999999999</v>
      </c>
      <c r="K25" s="70">
        <f>SUM(K11:K23)</f>
        <v>49826.43</v>
      </c>
      <c r="L25" s="71">
        <f>SUM(L12:L23)</f>
        <v>254</v>
      </c>
      <c r="M25" s="68">
        <f>SUM(M12:M23)</f>
        <v>-13316.939999999999</v>
      </c>
      <c r="N25" s="87">
        <f>K25/I25</f>
        <v>1.364752835495648</v>
      </c>
    </row>
    <row r="26" spans="2:18" s="22" customFormat="1" ht="15.75" customHeight="1" x14ac:dyDescent="0.2">
      <c r="J26" s="73"/>
      <c r="L26" s="74"/>
    </row>
    <row r="27" spans="2:18" s="22" customFormat="1" ht="15.75" customHeight="1" x14ac:dyDescent="0.25">
      <c r="B27" s="147" t="s">
        <v>24</v>
      </c>
      <c r="C27" s="148"/>
      <c r="D27" s="148"/>
      <c r="E27" s="148"/>
      <c r="F27" s="148"/>
      <c r="G27" s="149"/>
      <c r="H27" s="75"/>
      <c r="J27" s="111" t="s">
        <v>25</v>
      </c>
      <c r="K27" s="112"/>
      <c r="L27" s="112"/>
      <c r="M27" s="112"/>
      <c r="N27" s="113"/>
    </row>
    <row r="28" spans="2:18" s="22" customFormat="1" ht="15.75" customHeight="1" x14ac:dyDescent="0.2">
      <c r="B28" s="88"/>
      <c r="C28" s="112" t="s">
        <v>26</v>
      </c>
      <c r="D28" s="113"/>
      <c r="E28" s="150" t="s">
        <v>27</v>
      </c>
      <c r="F28" s="113"/>
      <c r="G28" s="89" t="s">
        <v>15</v>
      </c>
      <c r="H28" s="73"/>
      <c r="J28" s="108" t="s">
        <v>28</v>
      </c>
      <c r="K28" s="109"/>
      <c r="L28" s="109"/>
      <c r="M28" s="110"/>
      <c r="N28" s="76">
        <f>J25/L25</f>
        <v>478.84370078740153</v>
      </c>
    </row>
    <row r="29" spans="2:18" s="22" customFormat="1" ht="15.75" customHeight="1" x14ac:dyDescent="0.2">
      <c r="B29" s="90" t="s">
        <v>29</v>
      </c>
      <c r="C29" s="144">
        <v>30.27</v>
      </c>
      <c r="D29" s="145"/>
      <c r="E29" s="146">
        <v>3.6</v>
      </c>
      <c r="F29" s="145"/>
      <c r="G29" s="91">
        <f>C29+E29</f>
        <v>33.869999999999997</v>
      </c>
      <c r="H29" s="77"/>
      <c r="J29" s="108" t="s">
        <v>30</v>
      </c>
      <c r="K29" s="109"/>
      <c r="L29" s="109"/>
      <c r="M29" s="110"/>
      <c r="N29" s="76">
        <f>K25/L25</f>
        <v>196.16704724409448</v>
      </c>
    </row>
    <row r="30" spans="2:18" s="22" customFormat="1" ht="15.75" customHeight="1" x14ac:dyDescent="0.2">
      <c r="B30" s="92" t="str">
        <f>IF(D10="E+1","EE &amp; One","EE &amp; Spouse")</f>
        <v>EE &amp; One</v>
      </c>
      <c r="C30" s="144">
        <v>58.97</v>
      </c>
      <c r="D30" s="145"/>
      <c r="E30" s="146">
        <v>3.6</v>
      </c>
      <c r="F30" s="145"/>
      <c r="G30" s="91">
        <f>C30+E30</f>
        <v>62.57</v>
      </c>
      <c r="H30" s="77"/>
      <c r="J30" s="108" t="s">
        <v>31</v>
      </c>
      <c r="K30" s="109"/>
      <c r="L30" s="109"/>
      <c r="M30" s="110"/>
      <c r="N30" s="78">
        <f>((L25/COUNTIF(G12:G23,"&gt;0"))*12)/G25</f>
        <v>4.5628742514970062</v>
      </c>
    </row>
    <row r="31" spans="2:18" s="22" customFormat="1" ht="15.75" customHeight="1" x14ac:dyDescent="0.2">
      <c r="B31" s="90"/>
      <c r="C31" s="144"/>
      <c r="D31" s="145"/>
      <c r="E31" s="146"/>
      <c r="F31" s="145"/>
      <c r="G31" s="91"/>
      <c r="H31" s="77"/>
      <c r="J31" s="108" t="s">
        <v>32</v>
      </c>
      <c r="K31" s="109"/>
      <c r="L31" s="109"/>
      <c r="M31" s="110"/>
      <c r="N31" s="79">
        <f>K25/J25</f>
        <v>0.40966822142908238</v>
      </c>
    </row>
    <row r="32" spans="2:18" s="22" customFormat="1" ht="15.75" customHeight="1" x14ac:dyDescent="0.2">
      <c r="B32" s="90" t="s">
        <v>33</v>
      </c>
      <c r="C32" s="144">
        <v>90.98</v>
      </c>
      <c r="D32" s="145"/>
      <c r="E32" s="146">
        <v>3.6</v>
      </c>
      <c r="F32" s="145"/>
      <c r="G32" s="91">
        <f>C32+E32</f>
        <v>94.58</v>
      </c>
      <c r="H32" s="77"/>
      <c r="J32" s="108" t="s">
        <v>34</v>
      </c>
      <c r="K32" s="109"/>
      <c r="L32" s="109"/>
      <c r="M32" s="110"/>
      <c r="N32" s="76">
        <f>K25/G25/(COUNTIF(G12:G23,"&gt;0"))</f>
        <v>74.590464071856289</v>
      </c>
    </row>
    <row r="33" spans="2:14" s="22" customFormat="1" ht="15.75" customHeight="1" x14ac:dyDescent="0.2">
      <c r="C33" s="77"/>
      <c r="D33" s="77"/>
      <c r="E33" s="77"/>
      <c r="F33" s="93"/>
      <c r="G33" s="77"/>
      <c r="H33" s="77"/>
      <c r="J33" s="80"/>
      <c r="K33" s="80"/>
      <c r="L33" s="80"/>
      <c r="M33" s="80"/>
      <c r="N33" s="81"/>
    </row>
    <row r="34" spans="2:14" s="22" customFormat="1" ht="15.75" customHeight="1" thickBot="1" x14ac:dyDescent="0.25">
      <c r="J34" s="73"/>
      <c r="L34" s="74"/>
    </row>
    <row r="35" spans="2:14" s="22" customFormat="1" ht="15.75" customHeight="1" thickBot="1" x14ac:dyDescent="0.3">
      <c r="B35" s="140" t="s">
        <v>35</v>
      </c>
      <c r="C35" s="140"/>
      <c r="D35" s="140"/>
      <c r="E35" s="140"/>
      <c r="F35" s="140"/>
      <c r="G35" s="140"/>
      <c r="H35" s="75"/>
      <c r="J35" s="126" t="s">
        <v>39</v>
      </c>
      <c r="K35" s="127"/>
      <c r="L35" s="127"/>
      <c r="M35" s="127"/>
      <c r="N35" s="128"/>
    </row>
    <row r="36" spans="2:14" s="22" customFormat="1" ht="15.75" customHeight="1" x14ac:dyDescent="0.2">
      <c r="B36" s="141" t="s">
        <v>47</v>
      </c>
      <c r="C36" s="142"/>
      <c r="D36" s="142"/>
      <c r="E36" s="142"/>
      <c r="F36" s="142"/>
      <c r="G36" s="143"/>
      <c r="H36" s="83"/>
      <c r="J36" s="129" t="s">
        <v>28</v>
      </c>
      <c r="K36" s="130"/>
      <c r="L36" s="130"/>
      <c r="M36" s="131"/>
      <c r="N36" s="94">
        <v>336.59</v>
      </c>
    </row>
    <row r="37" spans="2:14" s="22" customFormat="1" ht="15.75" customHeight="1" x14ac:dyDescent="0.2">
      <c r="B37" s="134" t="s">
        <v>52</v>
      </c>
      <c r="C37" s="135"/>
      <c r="D37" s="135"/>
      <c r="E37" s="135"/>
      <c r="F37" s="135"/>
      <c r="G37" s="136"/>
      <c r="H37" s="83"/>
      <c r="J37" s="129" t="s">
        <v>30</v>
      </c>
      <c r="K37" s="130"/>
      <c r="L37" s="130"/>
      <c r="M37" s="131"/>
      <c r="N37" s="94">
        <v>194.67</v>
      </c>
    </row>
    <row r="38" spans="2:14" s="22" customFormat="1" ht="15.75" customHeight="1" x14ac:dyDescent="0.2">
      <c r="B38" s="134" t="s">
        <v>49</v>
      </c>
      <c r="C38" s="135"/>
      <c r="D38" s="135"/>
      <c r="E38" s="135"/>
      <c r="F38" s="135"/>
      <c r="G38" s="136"/>
      <c r="H38" s="83"/>
      <c r="J38" s="129" t="s">
        <v>31</v>
      </c>
      <c r="K38" s="130"/>
      <c r="L38" s="130"/>
      <c r="M38" s="131"/>
      <c r="N38" s="95">
        <v>2.84</v>
      </c>
    </row>
    <row r="39" spans="2:14" s="22" customFormat="1" ht="15.75" customHeight="1" x14ac:dyDescent="0.2">
      <c r="B39" s="134" t="s">
        <v>48</v>
      </c>
      <c r="C39" s="135"/>
      <c r="D39" s="135"/>
      <c r="E39" s="135"/>
      <c r="F39" s="135"/>
      <c r="G39" s="136"/>
      <c r="H39" s="83"/>
      <c r="J39" s="129" t="s">
        <v>32</v>
      </c>
      <c r="K39" s="130"/>
      <c r="L39" s="130"/>
      <c r="M39" s="131"/>
      <c r="N39" s="96">
        <v>0.57830000000000004</v>
      </c>
    </row>
    <row r="40" spans="2:14" s="22" customFormat="1" ht="15.75" thickBot="1" x14ac:dyDescent="0.25">
      <c r="B40" s="137" t="s">
        <v>36</v>
      </c>
      <c r="C40" s="138"/>
      <c r="D40" s="138"/>
      <c r="E40" s="138"/>
      <c r="F40" s="138"/>
      <c r="G40" s="139"/>
      <c r="H40" s="83"/>
      <c r="J40" s="129" t="s">
        <v>34</v>
      </c>
      <c r="K40" s="130"/>
      <c r="L40" s="130"/>
      <c r="M40" s="131"/>
      <c r="N40" s="94">
        <v>46.13</v>
      </c>
    </row>
    <row r="41" spans="2:14" s="22" customFormat="1" ht="15.75" x14ac:dyDescent="0.25">
      <c r="J41" s="105" t="s">
        <v>40</v>
      </c>
      <c r="K41" s="106"/>
      <c r="L41" s="106"/>
      <c r="M41" s="107"/>
      <c r="N41" s="97">
        <v>17031.060000000001</v>
      </c>
    </row>
    <row r="42" spans="2:14" s="22" customFormat="1" ht="10.15" customHeight="1" x14ac:dyDescent="0.2">
      <c r="J42" s="73"/>
      <c r="L42" s="74"/>
    </row>
    <row r="43" spans="2:14" s="22" customFormat="1" ht="10.15" customHeight="1" x14ac:dyDescent="0.2">
      <c r="B43" s="117" t="s">
        <v>53</v>
      </c>
      <c r="C43" s="118"/>
      <c r="D43" s="118"/>
      <c r="E43" s="118"/>
      <c r="F43" s="118"/>
      <c r="G43" s="118"/>
      <c r="H43" s="118"/>
      <c r="I43" s="118"/>
      <c r="J43" s="118"/>
      <c r="K43" s="118"/>
      <c r="L43" s="118"/>
      <c r="M43" s="118"/>
      <c r="N43" s="119"/>
    </row>
    <row r="44" spans="2:14" s="22" customFormat="1" ht="10.15" customHeight="1" x14ac:dyDescent="0.2">
      <c r="B44" s="120"/>
      <c r="C44" s="121"/>
      <c r="D44" s="121"/>
      <c r="E44" s="121"/>
      <c r="F44" s="121"/>
      <c r="G44" s="121"/>
      <c r="H44" s="121"/>
      <c r="I44" s="121"/>
      <c r="J44" s="121"/>
      <c r="K44" s="121"/>
      <c r="L44" s="121"/>
      <c r="M44" s="121"/>
      <c r="N44" s="122"/>
    </row>
    <row r="45" spans="2:14" s="22" customFormat="1" ht="10.15" customHeight="1" x14ac:dyDescent="0.2">
      <c r="B45" s="120"/>
      <c r="C45" s="121"/>
      <c r="D45" s="121"/>
      <c r="E45" s="121"/>
      <c r="F45" s="121"/>
      <c r="G45" s="121"/>
      <c r="H45" s="121"/>
      <c r="I45" s="121"/>
      <c r="J45" s="121"/>
      <c r="K45" s="121"/>
      <c r="L45" s="121"/>
      <c r="M45" s="121"/>
      <c r="N45" s="122"/>
    </row>
    <row r="46" spans="2:14" s="22" customFormat="1" ht="10.15" customHeight="1" x14ac:dyDescent="0.2">
      <c r="B46" s="120"/>
      <c r="C46" s="121"/>
      <c r="D46" s="121"/>
      <c r="E46" s="121"/>
      <c r="F46" s="121"/>
      <c r="G46" s="121"/>
      <c r="H46" s="121"/>
      <c r="I46" s="121"/>
      <c r="J46" s="121"/>
      <c r="K46" s="121"/>
      <c r="L46" s="121"/>
      <c r="M46" s="121"/>
      <c r="N46" s="122"/>
    </row>
    <row r="47" spans="2:14" s="22" customFormat="1" ht="10.15" customHeight="1" x14ac:dyDescent="0.2">
      <c r="B47" s="120"/>
      <c r="C47" s="121"/>
      <c r="D47" s="121"/>
      <c r="E47" s="121"/>
      <c r="F47" s="121"/>
      <c r="G47" s="121"/>
      <c r="H47" s="121"/>
      <c r="I47" s="121"/>
      <c r="J47" s="121"/>
      <c r="K47" s="121"/>
      <c r="L47" s="121"/>
      <c r="M47" s="121"/>
      <c r="N47" s="122"/>
    </row>
    <row r="48" spans="2:14" s="22" customFormat="1" ht="10.15" customHeight="1" x14ac:dyDescent="0.2">
      <c r="B48" s="120"/>
      <c r="C48" s="121"/>
      <c r="D48" s="121"/>
      <c r="E48" s="121"/>
      <c r="F48" s="121"/>
      <c r="G48" s="121"/>
      <c r="H48" s="121"/>
      <c r="I48" s="121"/>
      <c r="J48" s="121"/>
      <c r="K48" s="121"/>
      <c r="L48" s="121"/>
      <c r="M48" s="121"/>
      <c r="N48" s="122"/>
    </row>
    <row r="49" spans="2:14" s="22" customFormat="1" ht="10.15" customHeight="1" x14ac:dyDescent="0.2">
      <c r="B49" s="123"/>
      <c r="C49" s="124"/>
      <c r="D49" s="124"/>
      <c r="E49" s="124"/>
      <c r="F49" s="124"/>
      <c r="G49" s="124"/>
      <c r="H49" s="124"/>
      <c r="I49" s="124"/>
      <c r="J49" s="124"/>
      <c r="K49" s="124"/>
      <c r="L49" s="124"/>
      <c r="M49" s="124"/>
      <c r="N49" s="125"/>
    </row>
    <row r="50" spans="2:14" s="22" customFormat="1" ht="10.15" customHeight="1" x14ac:dyDescent="0.2">
      <c r="J50" s="73"/>
      <c r="L50" s="74"/>
    </row>
  </sheetData>
  <mergeCells count="44">
    <mergeCell ref="B27:G27"/>
    <mergeCell ref="J27:N27"/>
    <mergeCell ref="C28:D28"/>
    <mergeCell ref="E28:F28"/>
    <mergeCell ref="J28:M28"/>
    <mergeCell ref="J32:M32"/>
    <mergeCell ref="C29:D29"/>
    <mergeCell ref="E29:F29"/>
    <mergeCell ref="J29:M29"/>
    <mergeCell ref="C30:D30"/>
    <mergeCell ref="J30:M30"/>
    <mergeCell ref="C31:D31"/>
    <mergeCell ref="E31:F31"/>
    <mergeCell ref="J31:M31"/>
    <mergeCell ref="C32:D32"/>
    <mergeCell ref="E32:F32"/>
    <mergeCell ref="E30:F30"/>
    <mergeCell ref="I8:L8"/>
    <mergeCell ref="M8:N8"/>
    <mergeCell ref="B1:N1"/>
    <mergeCell ref="B2:N2"/>
    <mergeCell ref="B5:C5"/>
    <mergeCell ref="D5:G5"/>
    <mergeCell ref="K5:L5"/>
    <mergeCell ref="M5:N5"/>
    <mergeCell ref="B6:C6"/>
    <mergeCell ref="D6:G6"/>
    <mergeCell ref="K6:L6"/>
    <mergeCell ref="M6:N6"/>
    <mergeCell ref="B8:G8"/>
    <mergeCell ref="J41:M41"/>
    <mergeCell ref="B43:N49"/>
    <mergeCell ref="J35:N35"/>
    <mergeCell ref="J36:M36"/>
    <mergeCell ref="J37:M37"/>
    <mergeCell ref="J38:M38"/>
    <mergeCell ref="J39:M39"/>
    <mergeCell ref="J40:M40"/>
    <mergeCell ref="B37:G37"/>
    <mergeCell ref="B38:G38"/>
    <mergeCell ref="B39:G39"/>
    <mergeCell ref="B40:G40"/>
    <mergeCell ref="B35:G35"/>
    <mergeCell ref="B36:G36"/>
  </mergeCells>
  <phoneticPr fontId="0" type="noConversion"/>
  <pageMargins left="0.7" right="0.7" top="0.75" bottom="0.75" header="0.3" footer="0.3"/>
  <pageSetup scale="6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Z50"/>
  <sheetViews>
    <sheetView workbookViewId="0">
      <selection activeCell="K18" sqref="K18"/>
    </sheetView>
  </sheetViews>
  <sheetFormatPr defaultColWidth="9.140625" defaultRowHeight="10.15" customHeight="1" x14ac:dyDescent="0.2"/>
  <cols>
    <col min="1" max="1" width="5" style="17" customWidth="1"/>
    <col min="2" max="2" width="14.7109375" style="17"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32" t="str">
        <f>Summary!B1</f>
        <v>Jefferson County Schools</v>
      </c>
      <c r="C1" s="132"/>
      <c r="D1" s="132"/>
      <c r="E1" s="132"/>
      <c r="F1" s="132"/>
      <c r="G1" s="132"/>
      <c r="H1" s="132"/>
      <c r="I1" s="132"/>
      <c r="J1" s="132"/>
      <c r="K1" s="132"/>
      <c r="L1" s="132"/>
      <c r="M1" s="132"/>
      <c r="N1" s="132"/>
    </row>
    <row r="2" spans="2:26" s="1" customFormat="1" ht="20.25" customHeight="1" x14ac:dyDescent="0.25">
      <c r="B2" s="133" t="str">
        <f>Summary!B2</f>
        <v>Monthly Performance Report - Budgeted vs Actual Claims Paid</v>
      </c>
      <c r="C2" s="133"/>
      <c r="D2" s="133"/>
      <c r="E2" s="133"/>
      <c r="F2" s="133"/>
      <c r="G2" s="133"/>
      <c r="H2" s="133"/>
      <c r="I2" s="133"/>
      <c r="J2" s="133"/>
      <c r="K2" s="133"/>
      <c r="L2" s="133"/>
      <c r="M2" s="133"/>
      <c r="N2" s="133"/>
      <c r="O2" s="3"/>
      <c r="P2" s="3"/>
      <c r="Q2" s="4"/>
      <c r="R2" s="3"/>
      <c r="S2" s="3"/>
      <c r="T2" s="3"/>
      <c r="U2" s="3"/>
      <c r="V2" s="3"/>
      <c r="W2" s="3"/>
      <c r="X2" s="3"/>
      <c r="Y2" s="3"/>
      <c r="Z2" s="3"/>
    </row>
    <row r="3" spans="2:26" s="1" customFormat="1" ht="20.25" customHeight="1" x14ac:dyDescent="0.25">
      <c r="G3" s="5" t="s">
        <v>0</v>
      </c>
      <c r="H3" s="6">
        <f>Summary!H3</f>
        <v>46023</v>
      </c>
      <c r="I3" s="2" t="s">
        <v>1</v>
      </c>
      <c r="J3" s="6">
        <f>Summary!J3</f>
        <v>46387</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01" t="s">
        <v>2</v>
      </c>
      <c r="C5" s="101"/>
      <c r="D5" s="102" t="s">
        <v>43</v>
      </c>
      <c r="E5" s="102"/>
      <c r="F5" s="102"/>
      <c r="G5" s="102"/>
      <c r="H5" s="15"/>
      <c r="I5" s="16"/>
      <c r="J5" s="16"/>
      <c r="K5" s="101" t="s">
        <v>3</v>
      </c>
      <c r="L5" s="101"/>
      <c r="M5" s="102" t="s">
        <v>50</v>
      </c>
      <c r="N5" s="102"/>
    </row>
    <row r="6" spans="2:26" s="1" customFormat="1" ht="20.25" customHeight="1" x14ac:dyDescent="0.25">
      <c r="B6" s="101" t="s">
        <v>4</v>
      </c>
      <c r="C6" s="101"/>
      <c r="D6" s="102" t="s">
        <v>44</v>
      </c>
      <c r="E6" s="102"/>
      <c r="F6" s="102"/>
      <c r="G6" s="102"/>
      <c r="H6" s="15"/>
      <c r="I6" s="12"/>
      <c r="J6" s="12"/>
      <c r="K6" s="101" t="s">
        <v>5</v>
      </c>
      <c r="L6" s="101"/>
      <c r="M6" s="102" t="s">
        <v>51</v>
      </c>
      <c r="N6" s="102"/>
    </row>
    <row r="7" spans="2:26" ht="21" customHeight="1" thickBot="1" x14ac:dyDescent="0.25">
      <c r="C7" s="18"/>
      <c r="D7" s="18"/>
      <c r="E7" s="18"/>
    </row>
    <row r="8" spans="2:26" s="22" customFormat="1" ht="15.75" customHeight="1" thickBot="1" x14ac:dyDescent="0.25">
      <c r="B8" s="103" t="s">
        <v>6</v>
      </c>
      <c r="C8" s="104"/>
      <c r="D8" s="104"/>
      <c r="E8" s="104"/>
      <c r="F8" s="104"/>
      <c r="G8" s="104"/>
      <c r="H8" s="21" t="s">
        <v>7</v>
      </c>
      <c r="I8" s="114" t="s">
        <v>8</v>
      </c>
      <c r="J8" s="114"/>
      <c r="K8" s="114"/>
      <c r="L8" s="115"/>
      <c r="M8" s="116" t="s">
        <v>9</v>
      </c>
      <c r="N8" s="115"/>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38</v>
      </c>
      <c r="E10" s="32"/>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44"/>
      <c r="K11" s="45"/>
      <c r="L11" s="46"/>
      <c r="M11" s="84"/>
      <c r="N11" s="47"/>
      <c r="R11" s="48"/>
    </row>
    <row r="12" spans="2:26" s="22" customFormat="1" ht="15.75" customHeight="1" x14ac:dyDescent="0.2">
      <c r="B12" s="49">
        <f>Summary!B12</f>
        <v>46023</v>
      </c>
      <c r="C12" s="50">
        <f>55+331</f>
        <v>386</v>
      </c>
      <c r="D12" s="50">
        <f>13+7+76+35</f>
        <v>131</v>
      </c>
      <c r="E12" s="50"/>
      <c r="F12" s="50">
        <f>36+168</f>
        <v>204</v>
      </c>
      <c r="G12" s="85">
        <f>SUM(C12:F12)</f>
        <v>721</v>
      </c>
      <c r="H12" s="51">
        <f>(C12*$E$29)+(D12*$E$30)+(E12*$E$31)+(F12*$E$32)</f>
        <v>3064.25</v>
      </c>
      <c r="I12" s="52">
        <f>(C12*$C$29)+(D12*$C$30)+(E12*$C$31)+(F12*$C$32)</f>
        <v>40413.31</v>
      </c>
      <c r="J12" s="53">
        <v>0</v>
      </c>
      <c r="K12" s="53">
        <v>0</v>
      </c>
      <c r="L12" s="85">
        <v>0</v>
      </c>
      <c r="M12" s="52">
        <f>I12-K12</f>
        <v>40413.31</v>
      </c>
      <c r="N12" s="55">
        <f>K12/I12</f>
        <v>0</v>
      </c>
      <c r="Q12" s="48"/>
      <c r="R12" s="48"/>
    </row>
    <row r="13" spans="2:26" s="22" customFormat="1" ht="15.75" customHeight="1" x14ac:dyDescent="0.2">
      <c r="B13" s="49">
        <f>Summary!B13</f>
        <v>46054</v>
      </c>
      <c r="C13" s="50">
        <v>333</v>
      </c>
      <c r="D13" s="50">
        <f>76+34</f>
        <v>110</v>
      </c>
      <c r="E13" s="50"/>
      <c r="F13" s="50">
        <v>172</v>
      </c>
      <c r="G13" s="85">
        <f t="shared" ref="G13:G23" si="0">SUM(C13:F13)</f>
        <v>615</v>
      </c>
      <c r="H13" s="51">
        <f t="shared" ref="H13:H23" si="1">(C13*$E$29)+(D13*$E$30)+(E13*$E$31)+(F13*$E$32)</f>
        <v>2613.75</v>
      </c>
      <c r="I13" s="52">
        <f t="shared" ref="I13:I23" si="2">(C13*$C$29)+(D13*$C$30)+(E13*$C$31)+(F13*$C$32)</f>
        <v>34284.399999999994</v>
      </c>
      <c r="J13" s="53">
        <v>96480.9</v>
      </c>
      <c r="K13" s="53">
        <v>50783.68</v>
      </c>
      <c r="L13" s="85">
        <v>223</v>
      </c>
      <c r="M13" s="52">
        <f t="shared" ref="M13:M23" si="3">I13-K13</f>
        <v>-16499.280000000006</v>
      </c>
      <c r="N13" s="55">
        <f t="shared" ref="N13:N17" si="4">K13/I13</f>
        <v>1.4812474478188333</v>
      </c>
      <c r="Q13" s="56"/>
      <c r="R13" s="48"/>
    </row>
    <row r="14" spans="2:26" s="22" customFormat="1" ht="15.75" customHeight="1" x14ac:dyDescent="0.2">
      <c r="B14" s="49">
        <f>Summary!B14</f>
        <v>46082</v>
      </c>
      <c r="C14" s="50">
        <v>331</v>
      </c>
      <c r="D14" s="50">
        <f>33+76</f>
        <v>109</v>
      </c>
      <c r="E14" s="50"/>
      <c r="F14" s="50">
        <v>171</v>
      </c>
      <c r="G14" s="85">
        <f t="shared" si="0"/>
        <v>611</v>
      </c>
      <c r="H14" s="51">
        <f t="shared" si="1"/>
        <v>2596.75</v>
      </c>
      <c r="I14" s="52">
        <f t="shared" si="2"/>
        <v>34060.699999999997</v>
      </c>
      <c r="J14" s="53">
        <v>202927.46</v>
      </c>
      <c r="K14" s="53">
        <v>71466.23</v>
      </c>
      <c r="L14" s="85">
        <v>405</v>
      </c>
      <c r="M14" s="52">
        <f t="shared" si="3"/>
        <v>-37405.53</v>
      </c>
      <c r="N14" s="55">
        <f t="shared" si="4"/>
        <v>2.0982020334285556</v>
      </c>
      <c r="Q14" s="56"/>
      <c r="R14" s="48"/>
    </row>
    <row r="15" spans="2:26" s="22" customFormat="1" ht="15.75" customHeight="1" x14ac:dyDescent="0.2">
      <c r="B15" s="49">
        <f>Summary!B15</f>
        <v>46113</v>
      </c>
      <c r="C15" s="50">
        <v>330</v>
      </c>
      <c r="D15" s="50">
        <v>112</v>
      </c>
      <c r="E15" s="50"/>
      <c r="F15" s="50">
        <v>168</v>
      </c>
      <c r="G15" s="85">
        <f t="shared" si="0"/>
        <v>610</v>
      </c>
      <c r="H15" s="51">
        <f t="shared" si="1"/>
        <v>2592.5</v>
      </c>
      <c r="I15" s="52">
        <f t="shared" si="2"/>
        <v>33919.56</v>
      </c>
      <c r="J15" s="53">
        <v>133025.85</v>
      </c>
      <c r="K15" s="53">
        <v>52899.97</v>
      </c>
      <c r="L15" s="85">
        <v>297</v>
      </c>
      <c r="M15" s="52">
        <f t="shared" si="3"/>
        <v>-18980.410000000003</v>
      </c>
      <c r="N15" s="55">
        <f t="shared" si="4"/>
        <v>1.5595712326457067</v>
      </c>
      <c r="Q15" s="56"/>
      <c r="R15" s="48"/>
    </row>
    <row r="16" spans="2:26" s="22" customFormat="1" ht="15.75" customHeight="1" x14ac:dyDescent="0.2">
      <c r="B16" s="49">
        <f>Summary!B16</f>
        <v>46143</v>
      </c>
      <c r="C16" s="50">
        <v>331</v>
      </c>
      <c r="D16" s="50">
        <v>112</v>
      </c>
      <c r="E16" s="50"/>
      <c r="F16" s="50">
        <v>168</v>
      </c>
      <c r="G16" s="85">
        <f t="shared" si="0"/>
        <v>611</v>
      </c>
      <c r="H16" s="51">
        <f t="shared" si="1"/>
        <v>2596.75</v>
      </c>
      <c r="I16" s="52">
        <f t="shared" si="2"/>
        <v>33951.14</v>
      </c>
      <c r="J16" s="53">
        <v>108876.62</v>
      </c>
      <c r="K16" s="53">
        <v>33449.68</v>
      </c>
      <c r="L16" s="85">
        <v>236</v>
      </c>
      <c r="M16" s="52">
        <f t="shared" si="3"/>
        <v>501.45999999999913</v>
      </c>
      <c r="N16" s="55">
        <f t="shared" si="4"/>
        <v>0.98522995104140831</v>
      </c>
      <c r="Q16" s="56"/>
      <c r="R16" s="48"/>
    </row>
    <row r="17" spans="2:18" s="22" customFormat="1" ht="15.75" customHeight="1" x14ac:dyDescent="0.2">
      <c r="B17" s="49">
        <f>Summary!B17</f>
        <v>46174</v>
      </c>
      <c r="C17" s="50">
        <v>331</v>
      </c>
      <c r="D17" s="50">
        <v>115</v>
      </c>
      <c r="E17" s="50"/>
      <c r="F17" s="50">
        <v>164</v>
      </c>
      <c r="G17" s="85">
        <f t="shared" si="0"/>
        <v>610</v>
      </c>
      <c r="H17" s="51">
        <f t="shared" si="1"/>
        <v>2592.5</v>
      </c>
      <c r="I17" s="52">
        <f t="shared" si="2"/>
        <v>33743.049999999996</v>
      </c>
      <c r="J17" s="53">
        <v>111449.61</v>
      </c>
      <c r="K17" s="53">
        <v>43930.1</v>
      </c>
      <c r="L17" s="85">
        <v>286</v>
      </c>
      <c r="M17" s="52">
        <f t="shared" si="3"/>
        <v>-10187.050000000003</v>
      </c>
      <c r="N17" s="55">
        <f t="shared" si="4"/>
        <v>1.3019006876971704</v>
      </c>
      <c r="Q17" s="56"/>
      <c r="R17" s="48"/>
    </row>
    <row r="18" spans="2:18" s="22" customFormat="1" ht="15.75" customHeight="1" x14ac:dyDescent="0.2">
      <c r="B18" s="49">
        <f>Summary!B18</f>
        <v>46204</v>
      </c>
      <c r="C18" s="50"/>
      <c r="D18" s="50"/>
      <c r="E18" s="50"/>
      <c r="F18" s="50"/>
      <c r="G18" s="85">
        <f t="shared" si="0"/>
        <v>0</v>
      </c>
      <c r="H18" s="51">
        <f t="shared" si="1"/>
        <v>0</v>
      </c>
      <c r="I18" s="52">
        <f t="shared" si="2"/>
        <v>0</v>
      </c>
      <c r="J18" s="53"/>
      <c r="K18" s="53"/>
      <c r="L18" s="85"/>
      <c r="M18" s="52">
        <f t="shared" si="3"/>
        <v>0</v>
      </c>
      <c r="N18" s="55"/>
      <c r="Q18" s="56"/>
      <c r="R18" s="48"/>
    </row>
    <row r="19" spans="2:18" s="22" customFormat="1" ht="15.75" customHeight="1" x14ac:dyDescent="0.2">
      <c r="B19" s="49">
        <f>Summary!B19</f>
        <v>46235</v>
      </c>
      <c r="C19" s="50"/>
      <c r="D19" s="50"/>
      <c r="E19" s="50"/>
      <c r="F19" s="50"/>
      <c r="G19" s="85">
        <f t="shared" si="0"/>
        <v>0</v>
      </c>
      <c r="H19" s="51">
        <f t="shared" si="1"/>
        <v>0</v>
      </c>
      <c r="I19" s="52">
        <f t="shared" si="2"/>
        <v>0</v>
      </c>
      <c r="J19" s="53"/>
      <c r="K19" s="53"/>
      <c r="L19" s="85"/>
      <c r="M19" s="52">
        <f t="shared" si="3"/>
        <v>0</v>
      </c>
      <c r="N19" s="55"/>
      <c r="Q19" s="56"/>
      <c r="R19" s="48"/>
    </row>
    <row r="20" spans="2:18" s="22" customFormat="1" ht="15.75" customHeight="1" x14ac:dyDescent="0.2">
      <c r="B20" s="49">
        <f>Summary!B20</f>
        <v>46266</v>
      </c>
      <c r="C20" s="50"/>
      <c r="D20" s="50"/>
      <c r="E20" s="50"/>
      <c r="F20" s="50"/>
      <c r="G20" s="85">
        <f t="shared" si="0"/>
        <v>0</v>
      </c>
      <c r="H20" s="51">
        <f t="shared" si="1"/>
        <v>0</v>
      </c>
      <c r="I20" s="52">
        <f t="shared" si="2"/>
        <v>0</v>
      </c>
      <c r="J20" s="53"/>
      <c r="K20" s="53"/>
      <c r="L20" s="85"/>
      <c r="M20" s="52">
        <f t="shared" si="3"/>
        <v>0</v>
      </c>
      <c r="N20" s="55"/>
      <c r="Q20" s="56"/>
      <c r="R20" s="48"/>
    </row>
    <row r="21" spans="2:18" s="22" customFormat="1" ht="15.75" customHeight="1" x14ac:dyDescent="0.2">
      <c r="B21" s="49">
        <f>Summary!B21</f>
        <v>46296</v>
      </c>
      <c r="C21" s="50"/>
      <c r="D21" s="50"/>
      <c r="E21" s="50"/>
      <c r="F21" s="50"/>
      <c r="G21" s="85">
        <f t="shared" si="0"/>
        <v>0</v>
      </c>
      <c r="H21" s="51">
        <f t="shared" si="1"/>
        <v>0</v>
      </c>
      <c r="I21" s="52">
        <f t="shared" si="2"/>
        <v>0</v>
      </c>
      <c r="J21" s="53"/>
      <c r="K21" s="53"/>
      <c r="L21" s="85"/>
      <c r="M21" s="52">
        <f t="shared" si="3"/>
        <v>0</v>
      </c>
      <c r="N21" s="100"/>
      <c r="Q21" s="56"/>
      <c r="R21" s="48"/>
    </row>
    <row r="22" spans="2:18" s="22" customFormat="1" ht="15.75" customHeight="1" x14ac:dyDescent="0.2">
      <c r="B22" s="49">
        <f>Summary!B22</f>
        <v>46327</v>
      </c>
      <c r="C22" s="50"/>
      <c r="D22" s="50"/>
      <c r="E22" s="50"/>
      <c r="F22" s="50"/>
      <c r="G22" s="85">
        <f t="shared" si="0"/>
        <v>0</v>
      </c>
      <c r="H22" s="51">
        <f t="shared" si="1"/>
        <v>0</v>
      </c>
      <c r="I22" s="52">
        <f t="shared" si="2"/>
        <v>0</v>
      </c>
      <c r="J22" s="53"/>
      <c r="K22" s="53"/>
      <c r="L22" s="85"/>
      <c r="M22" s="52">
        <f t="shared" si="3"/>
        <v>0</v>
      </c>
      <c r="N22" s="55"/>
      <c r="Q22" s="56"/>
      <c r="R22" s="48"/>
    </row>
    <row r="23" spans="2:18" s="22" customFormat="1" ht="15.75" customHeight="1" x14ac:dyDescent="0.2">
      <c r="B23" s="49">
        <f>Summary!B23</f>
        <v>46357</v>
      </c>
      <c r="C23" s="50"/>
      <c r="D23" s="50"/>
      <c r="E23" s="50"/>
      <c r="F23" s="50"/>
      <c r="G23" s="85">
        <f t="shared" si="0"/>
        <v>0</v>
      </c>
      <c r="H23" s="51">
        <f t="shared" si="1"/>
        <v>0</v>
      </c>
      <c r="I23" s="52">
        <f t="shared" si="2"/>
        <v>0</v>
      </c>
      <c r="J23" s="53"/>
      <c r="K23" s="53"/>
      <c r="L23" s="85"/>
      <c r="M23" s="52">
        <f t="shared" si="3"/>
        <v>0</v>
      </c>
      <c r="N23" s="100"/>
      <c r="Q23" s="56"/>
      <c r="R23" s="48"/>
    </row>
    <row r="24" spans="2:18" s="22" customFormat="1" ht="15.75" customHeight="1" thickBot="1" x14ac:dyDescent="0.25">
      <c r="B24" s="57"/>
      <c r="C24" s="58"/>
      <c r="D24" s="58"/>
      <c r="E24" s="58"/>
      <c r="F24" s="58"/>
      <c r="G24" s="59"/>
      <c r="H24" s="60"/>
      <c r="I24" s="61"/>
      <c r="J24" s="62"/>
      <c r="K24" s="63"/>
      <c r="L24" s="64"/>
      <c r="M24" s="86"/>
      <c r="N24" s="98"/>
    </row>
    <row r="25" spans="2:18" s="72" customFormat="1" ht="15.75" customHeight="1" thickBot="1" x14ac:dyDescent="0.3">
      <c r="B25" s="66" t="s">
        <v>23</v>
      </c>
      <c r="C25" s="67">
        <f>AVERAGEIF(C12:C23,"&gt;0")</f>
        <v>340.33333333333331</v>
      </c>
      <c r="D25" s="67">
        <f>AVERAGEIF(D12:D23,"&gt;0")</f>
        <v>114.83333333333333</v>
      </c>
      <c r="E25" s="67"/>
      <c r="F25" s="67">
        <f>AVERAGEIF(F12:F23,"&gt;0")</f>
        <v>174.5</v>
      </c>
      <c r="G25" s="67">
        <f>AVERAGEIF(G12:G23,"&gt;0")</f>
        <v>629.66666666666663</v>
      </c>
      <c r="H25" s="68">
        <f>SUM(H11:H23)</f>
        <v>16056.5</v>
      </c>
      <c r="I25" s="68">
        <f>SUM(I11:I23)</f>
        <v>210372.15999999997</v>
      </c>
      <c r="J25" s="69">
        <f>SUM(J11:J23)</f>
        <v>652760.43999999994</v>
      </c>
      <c r="K25" s="70">
        <f>SUM(K11:K23)</f>
        <v>252529.66</v>
      </c>
      <c r="L25" s="71">
        <f>SUM(L12:L23)</f>
        <v>1447</v>
      </c>
      <c r="M25" s="68">
        <f>SUM(M12:M23)</f>
        <v>-42157.500000000015</v>
      </c>
      <c r="N25" s="87">
        <f>K25/I25</f>
        <v>1.2003948621338492</v>
      </c>
    </row>
    <row r="26" spans="2:18" s="22" customFormat="1" ht="15.75" customHeight="1" x14ac:dyDescent="0.2">
      <c r="J26" s="73"/>
      <c r="L26" s="74"/>
    </row>
    <row r="27" spans="2:18" s="22" customFormat="1" ht="15.75" customHeight="1" x14ac:dyDescent="0.25">
      <c r="B27" s="147" t="s">
        <v>24</v>
      </c>
      <c r="C27" s="148"/>
      <c r="D27" s="148"/>
      <c r="E27" s="148"/>
      <c r="F27" s="148"/>
      <c r="G27" s="149"/>
      <c r="H27" s="75"/>
      <c r="J27" s="111" t="s">
        <v>25</v>
      </c>
      <c r="K27" s="112"/>
      <c r="L27" s="112"/>
      <c r="M27" s="112"/>
      <c r="N27" s="113"/>
    </row>
    <row r="28" spans="2:18" s="22" customFormat="1" ht="15.75" customHeight="1" x14ac:dyDescent="0.2">
      <c r="B28" s="88"/>
      <c r="C28" s="112" t="s">
        <v>26</v>
      </c>
      <c r="D28" s="113"/>
      <c r="E28" s="150" t="s">
        <v>27</v>
      </c>
      <c r="F28" s="113"/>
      <c r="G28" s="89" t="s">
        <v>15</v>
      </c>
      <c r="H28" s="73"/>
      <c r="J28" s="108" t="s">
        <v>28</v>
      </c>
      <c r="K28" s="109"/>
      <c r="L28" s="109"/>
      <c r="M28" s="110"/>
      <c r="N28" s="76">
        <f>J25/L25</f>
        <v>451.11295093296474</v>
      </c>
    </row>
    <row r="29" spans="2:18" s="22" customFormat="1" ht="15.75" customHeight="1" x14ac:dyDescent="0.2">
      <c r="B29" s="90" t="s">
        <v>29</v>
      </c>
      <c r="C29" s="144">
        <v>31.58</v>
      </c>
      <c r="D29" s="145" t="s">
        <v>56</v>
      </c>
      <c r="E29" s="146">
        <v>4.25</v>
      </c>
      <c r="F29" s="145" t="s">
        <v>56</v>
      </c>
      <c r="G29" s="91">
        <f>C29+E29</f>
        <v>35.83</v>
      </c>
      <c r="H29" s="77"/>
      <c r="J29" s="108" t="s">
        <v>30</v>
      </c>
      <c r="K29" s="109"/>
      <c r="L29" s="109"/>
      <c r="M29" s="110"/>
      <c r="N29" s="76">
        <f>K25/L25</f>
        <v>174.51946095369732</v>
      </c>
    </row>
    <row r="30" spans="2:18" s="22" customFormat="1" ht="15.75" customHeight="1" x14ac:dyDescent="0.2">
      <c r="B30" s="92" t="str">
        <f>IF(D10="E+1","EE &amp; One","EE &amp; Spouse")</f>
        <v>EE &amp; One</v>
      </c>
      <c r="C30" s="144">
        <v>62.01</v>
      </c>
      <c r="D30" s="145" t="s">
        <v>56</v>
      </c>
      <c r="E30" s="146">
        <v>4.25</v>
      </c>
      <c r="F30" s="145" t="s">
        <v>56</v>
      </c>
      <c r="G30" s="91">
        <f>C30+E30</f>
        <v>66.259999999999991</v>
      </c>
      <c r="H30" s="77"/>
      <c r="J30" s="108" t="s">
        <v>31</v>
      </c>
      <c r="K30" s="109"/>
      <c r="L30" s="109"/>
      <c r="M30" s="110"/>
      <c r="N30" s="78">
        <f>((L25/COUNTIF(G12:G23,"&gt;0"))*12)/G25</f>
        <v>4.5960825833774486</v>
      </c>
    </row>
    <row r="31" spans="2:18" s="22" customFormat="1" ht="15.75" customHeight="1" x14ac:dyDescent="0.2">
      <c r="B31" s="90"/>
      <c r="C31" s="144"/>
      <c r="D31" s="145"/>
      <c r="E31" s="146"/>
      <c r="F31" s="145"/>
      <c r="G31" s="91"/>
      <c r="H31" s="77"/>
      <c r="J31" s="108" t="s">
        <v>32</v>
      </c>
      <c r="K31" s="109"/>
      <c r="L31" s="109"/>
      <c r="M31" s="110"/>
      <c r="N31" s="79">
        <f>K25/J25</f>
        <v>0.38686422234778817</v>
      </c>
    </row>
    <row r="32" spans="2:18" s="22" customFormat="1" ht="15.75" customHeight="1" x14ac:dyDescent="0.2">
      <c r="B32" s="90" t="s">
        <v>33</v>
      </c>
      <c r="C32" s="144">
        <v>98.53</v>
      </c>
      <c r="D32" s="145" t="s">
        <v>56</v>
      </c>
      <c r="E32" s="146">
        <v>4.25</v>
      </c>
      <c r="F32" s="145" t="s">
        <v>56</v>
      </c>
      <c r="G32" s="91">
        <f>C32+E32</f>
        <v>102.78</v>
      </c>
      <c r="H32" s="77"/>
      <c r="J32" s="108" t="s">
        <v>34</v>
      </c>
      <c r="K32" s="109"/>
      <c r="L32" s="109"/>
      <c r="M32" s="110"/>
      <c r="N32" s="76">
        <f>K25/G25/(COUNTIF(G12:G23,"&gt;0"))</f>
        <v>66.842154579142417</v>
      </c>
    </row>
    <row r="33" spans="2:14" s="22" customFormat="1" ht="15.75" customHeight="1" x14ac:dyDescent="0.2">
      <c r="C33" s="77"/>
      <c r="D33" s="77"/>
      <c r="E33" s="77"/>
      <c r="F33" s="93"/>
      <c r="G33" s="77"/>
      <c r="H33" s="77"/>
      <c r="J33" s="80"/>
      <c r="K33" s="80"/>
      <c r="L33" s="80"/>
      <c r="M33" s="80"/>
      <c r="N33" s="81"/>
    </row>
    <row r="34" spans="2:14" s="22" customFormat="1" ht="15.75" customHeight="1" thickBot="1" x14ac:dyDescent="0.25">
      <c r="J34" s="73"/>
      <c r="L34" s="74"/>
    </row>
    <row r="35" spans="2:14" s="22" customFormat="1" ht="15.75" customHeight="1" thickBot="1" x14ac:dyDescent="0.3">
      <c r="B35" s="140" t="s">
        <v>35</v>
      </c>
      <c r="C35" s="140"/>
      <c r="D35" s="140"/>
      <c r="E35" s="140"/>
      <c r="F35" s="140"/>
      <c r="G35" s="140"/>
      <c r="H35" s="75"/>
      <c r="J35" s="126" t="s">
        <v>39</v>
      </c>
      <c r="K35" s="127"/>
      <c r="L35" s="127"/>
      <c r="M35" s="127"/>
      <c r="N35" s="128"/>
    </row>
    <row r="36" spans="2:14" s="22" customFormat="1" ht="15.75" customHeight="1" x14ac:dyDescent="0.2">
      <c r="B36" s="141" t="s">
        <v>47</v>
      </c>
      <c r="C36" s="142"/>
      <c r="D36" s="142"/>
      <c r="E36" s="142"/>
      <c r="F36" s="142"/>
      <c r="G36" s="143"/>
      <c r="H36" s="83"/>
      <c r="J36" s="129" t="s">
        <v>28</v>
      </c>
      <c r="K36" s="130"/>
      <c r="L36" s="130"/>
      <c r="M36" s="131"/>
      <c r="N36" s="94">
        <v>360.59</v>
      </c>
    </row>
    <row r="37" spans="2:14" s="22" customFormat="1" ht="15.75" customHeight="1" x14ac:dyDescent="0.2">
      <c r="B37" s="134" t="s">
        <v>54</v>
      </c>
      <c r="C37" s="135"/>
      <c r="D37" s="135"/>
      <c r="E37" s="135"/>
      <c r="F37" s="135"/>
      <c r="G37" s="136"/>
      <c r="H37" s="83"/>
      <c r="J37" s="129" t="s">
        <v>30</v>
      </c>
      <c r="K37" s="130"/>
      <c r="L37" s="130"/>
      <c r="M37" s="131"/>
      <c r="N37" s="94">
        <v>205.32</v>
      </c>
    </row>
    <row r="38" spans="2:14" s="22" customFormat="1" ht="15.75" customHeight="1" x14ac:dyDescent="0.2">
      <c r="B38" s="134" t="s">
        <v>49</v>
      </c>
      <c r="C38" s="135"/>
      <c r="D38" s="135"/>
      <c r="E38" s="135"/>
      <c r="F38" s="135"/>
      <c r="G38" s="136"/>
      <c r="H38" s="83"/>
      <c r="J38" s="129" t="s">
        <v>31</v>
      </c>
      <c r="K38" s="130"/>
      <c r="L38" s="130"/>
      <c r="M38" s="131"/>
      <c r="N38" s="95">
        <v>3.42</v>
      </c>
    </row>
    <row r="39" spans="2:14" s="22" customFormat="1" ht="15.75" customHeight="1" x14ac:dyDescent="0.2">
      <c r="B39" s="134" t="s">
        <v>55</v>
      </c>
      <c r="C39" s="135"/>
      <c r="D39" s="135"/>
      <c r="E39" s="135"/>
      <c r="F39" s="135"/>
      <c r="G39" s="136"/>
      <c r="H39" s="83"/>
      <c r="J39" s="129" t="s">
        <v>32</v>
      </c>
      <c r="K39" s="130"/>
      <c r="L39" s="130"/>
      <c r="M39" s="131"/>
      <c r="N39" s="96">
        <v>0.56940000000000002</v>
      </c>
    </row>
    <row r="40" spans="2:14" s="22" customFormat="1" ht="15.75" thickBot="1" x14ac:dyDescent="0.25">
      <c r="B40" s="137" t="s">
        <v>36</v>
      </c>
      <c r="C40" s="138"/>
      <c r="D40" s="138"/>
      <c r="E40" s="138"/>
      <c r="F40" s="138"/>
      <c r="G40" s="139"/>
      <c r="H40" s="83"/>
      <c r="J40" s="129" t="s">
        <v>34</v>
      </c>
      <c r="K40" s="130"/>
      <c r="L40" s="130"/>
      <c r="M40" s="131"/>
      <c r="N40" s="94">
        <v>58.55</v>
      </c>
    </row>
    <row r="41" spans="2:14" s="22" customFormat="1" ht="15.75" x14ac:dyDescent="0.25">
      <c r="J41" s="105" t="s">
        <v>40</v>
      </c>
      <c r="K41" s="106"/>
      <c r="L41" s="106"/>
      <c r="M41" s="107"/>
      <c r="N41" s="97">
        <v>14038.01</v>
      </c>
    </row>
    <row r="42" spans="2:14" s="22" customFormat="1" ht="10.15" customHeight="1" x14ac:dyDescent="0.2">
      <c r="J42" s="73"/>
      <c r="L42" s="74"/>
    </row>
    <row r="43" spans="2:14" s="22" customFormat="1" ht="10.15" customHeight="1" x14ac:dyDescent="0.2">
      <c r="B43" s="117" t="s">
        <v>53</v>
      </c>
      <c r="C43" s="118"/>
      <c r="D43" s="118"/>
      <c r="E43" s="118"/>
      <c r="F43" s="118"/>
      <c r="G43" s="118"/>
      <c r="H43" s="118"/>
      <c r="I43" s="118"/>
      <c r="J43" s="118"/>
      <c r="K43" s="118"/>
      <c r="L43" s="118"/>
      <c r="M43" s="118"/>
      <c r="N43" s="119"/>
    </row>
    <row r="44" spans="2:14" s="22" customFormat="1" ht="10.15" customHeight="1" x14ac:dyDescent="0.2">
      <c r="B44" s="120"/>
      <c r="C44" s="121"/>
      <c r="D44" s="121"/>
      <c r="E44" s="121"/>
      <c r="F44" s="121"/>
      <c r="G44" s="121"/>
      <c r="H44" s="121"/>
      <c r="I44" s="121"/>
      <c r="J44" s="121"/>
      <c r="K44" s="121"/>
      <c r="L44" s="121"/>
      <c r="M44" s="121"/>
      <c r="N44" s="122"/>
    </row>
    <row r="45" spans="2:14" s="22" customFormat="1" ht="10.15" customHeight="1" x14ac:dyDescent="0.2">
      <c r="B45" s="120"/>
      <c r="C45" s="121"/>
      <c r="D45" s="121"/>
      <c r="E45" s="121"/>
      <c r="F45" s="121"/>
      <c r="G45" s="121"/>
      <c r="H45" s="121"/>
      <c r="I45" s="121"/>
      <c r="J45" s="121"/>
      <c r="K45" s="121"/>
      <c r="L45" s="121"/>
      <c r="M45" s="121"/>
      <c r="N45" s="122"/>
    </row>
    <row r="46" spans="2:14" s="22" customFormat="1" ht="10.15" customHeight="1" x14ac:dyDescent="0.2">
      <c r="B46" s="120"/>
      <c r="C46" s="121"/>
      <c r="D46" s="121"/>
      <c r="E46" s="121"/>
      <c r="F46" s="121"/>
      <c r="G46" s="121"/>
      <c r="H46" s="121"/>
      <c r="I46" s="121"/>
      <c r="J46" s="121"/>
      <c r="K46" s="121"/>
      <c r="L46" s="121"/>
      <c r="M46" s="121"/>
      <c r="N46" s="122"/>
    </row>
    <row r="47" spans="2:14" s="22" customFormat="1" ht="10.15" customHeight="1" x14ac:dyDescent="0.2">
      <c r="B47" s="120"/>
      <c r="C47" s="121"/>
      <c r="D47" s="121"/>
      <c r="E47" s="121"/>
      <c r="F47" s="121"/>
      <c r="G47" s="121"/>
      <c r="H47" s="121"/>
      <c r="I47" s="121"/>
      <c r="J47" s="121"/>
      <c r="K47" s="121"/>
      <c r="L47" s="121"/>
      <c r="M47" s="121"/>
      <c r="N47" s="122"/>
    </row>
    <row r="48" spans="2:14" s="22" customFormat="1" ht="10.15" customHeight="1" x14ac:dyDescent="0.2">
      <c r="B48" s="120"/>
      <c r="C48" s="121"/>
      <c r="D48" s="121"/>
      <c r="E48" s="121"/>
      <c r="F48" s="121"/>
      <c r="G48" s="121"/>
      <c r="H48" s="121"/>
      <c r="I48" s="121"/>
      <c r="J48" s="121"/>
      <c r="K48" s="121"/>
      <c r="L48" s="121"/>
      <c r="M48" s="121"/>
      <c r="N48" s="122"/>
    </row>
    <row r="49" spans="2:14" s="22" customFormat="1" ht="10.15" customHeight="1" x14ac:dyDescent="0.2">
      <c r="B49" s="123"/>
      <c r="C49" s="124"/>
      <c r="D49" s="124"/>
      <c r="E49" s="124"/>
      <c r="F49" s="124"/>
      <c r="G49" s="124"/>
      <c r="H49" s="124"/>
      <c r="I49" s="124"/>
      <c r="J49" s="124"/>
      <c r="K49" s="124"/>
      <c r="L49" s="124"/>
      <c r="M49" s="124"/>
      <c r="N49" s="125"/>
    </row>
    <row r="50" spans="2:14" s="22" customFormat="1" ht="10.15" customHeight="1" x14ac:dyDescent="0.2">
      <c r="J50" s="73"/>
      <c r="L50" s="74"/>
    </row>
  </sheetData>
  <mergeCells count="44">
    <mergeCell ref="B27:G27"/>
    <mergeCell ref="J27:N27"/>
    <mergeCell ref="C28:D28"/>
    <mergeCell ref="E28:F28"/>
    <mergeCell ref="J28:M28"/>
    <mergeCell ref="J32:M32"/>
    <mergeCell ref="C29:D29"/>
    <mergeCell ref="E29:F29"/>
    <mergeCell ref="J29:M29"/>
    <mergeCell ref="C30:D30"/>
    <mergeCell ref="J30:M30"/>
    <mergeCell ref="C31:D31"/>
    <mergeCell ref="E31:F31"/>
    <mergeCell ref="J31:M31"/>
    <mergeCell ref="C32:D32"/>
    <mergeCell ref="E32:F32"/>
    <mergeCell ref="E30:F30"/>
    <mergeCell ref="I8:L8"/>
    <mergeCell ref="M8:N8"/>
    <mergeCell ref="B1:N1"/>
    <mergeCell ref="B2:N2"/>
    <mergeCell ref="B5:C5"/>
    <mergeCell ref="D5:G5"/>
    <mergeCell ref="K5:L5"/>
    <mergeCell ref="M5:N5"/>
    <mergeCell ref="B6:C6"/>
    <mergeCell ref="D6:G6"/>
    <mergeCell ref="K6:L6"/>
    <mergeCell ref="M6:N6"/>
    <mergeCell ref="B8:G8"/>
    <mergeCell ref="J41:M41"/>
    <mergeCell ref="B43:N49"/>
    <mergeCell ref="J35:N35"/>
    <mergeCell ref="J36:M36"/>
    <mergeCell ref="J37:M37"/>
    <mergeCell ref="J38:M38"/>
    <mergeCell ref="J39:M39"/>
    <mergeCell ref="J40:M40"/>
    <mergeCell ref="B37:G37"/>
    <mergeCell ref="B38:G38"/>
    <mergeCell ref="B39:G39"/>
    <mergeCell ref="B40:G40"/>
    <mergeCell ref="B35:G35"/>
    <mergeCell ref="B36:G36"/>
  </mergeCells>
  <phoneticPr fontId="0" type="noConversion"/>
  <pageMargins left="0.7" right="0.7" top="0.75" bottom="0.75" header="0.3" footer="0.3"/>
  <pageSetup scale="6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Dental</vt:lpstr>
      <vt:lpstr>Dental-Vision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2026-04-01T16:32:57Z</cp:lastPrinted>
  <dcterms:created xsi:type="dcterms:W3CDTF">2010-01-16T14:52:12Z</dcterms:created>
  <dcterms:modified xsi:type="dcterms:W3CDTF">2026-07-01T17:48:12Z</dcterms:modified>
</cp:coreProperties>
</file>