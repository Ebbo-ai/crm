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1EB698C1-93A1-4127-A188-D7F2DCFDCB94}" xr6:coauthVersionLast="47" xr6:coauthVersionMax="47" xr10:uidLastSave="{00000000-0000-0000-0000-000000000000}"/>
  <bookViews>
    <workbookView xWindow="-105" yWindow="0" windowWidth="26010" windowHeight="20985" xr2:uid="{00000000-000D-0000-FFFF-FFFF00000000}"/>
  </bookViews>
  <sheets>
    <sheet name="Dental-Vision" sheetId="1" r:id="rId1"/>
    <sheet name="Vision"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6" l="1"/>
  <c r="N17" i="1"/>
  <c r="N16" i="6"/>
  <c r="N16" i="1"/>
  <c r="N13" i="1"/>
  <c r="N14" i="1"/>
  <c r="N15" i="1"/>
  <c r="N12" i="1"/>
  <c r="M13" i="1"/>
  <c r="M14" i="1"/>
  <c r="M15" i="1"/>
  <c r="M18" i="1"/>
  <c r="M19" i="1"/>
  <c r="M20" i="1"/>
  <c r="M21" i="1"/>
  <c r="M22" i="1"/>
  <c r="M23" i="1"/>
  <c r="M12" i="1"/>
  <c r="N13" i="6"/>
  <c r="N14" i="6"/>
  <c r="N15" i="6"/>
  <c r="N12" i="6"/>
  <c r="M13" i="6"/>
  <c r="M14" i="6"/>
  <c r="M15" i="6"/>
  <c r="M18" i="6"/>
  <c r="M19" i="6"/>
  <c r="M20" i="6"/>
  <c r="M21" i="6"/>
  <c r="M22" i="6"/>
  <c r="M23" i="6"/>
  <c r="M12" i="6"/>
  <c r="L25" i="6"/>
  <c r="J25" i="1"/>
  <c r="I17" i="6"/>
  <c r="M17" i="6" s="1"/>
  <c r="L25" i="1"/>
  <c r="K25" i="1"/>
  <c r="G23" i="1"/>
  <c r="H23" i="1"/>
  <c r="I23" i="1"/>
  <c r="D25" i="6"/>
  <c r="I15" i="6"/>
  <c r="E25" i="1"/>
  <c r="G31" i="6"/>
  <c r="G31" i="1"/>
  <c r="B2" i="6"/>
  <c r="G13" i="1"/>
  <c r="H13" i="1"/>
  <c r="I13" i="1"/>
  <c r="G14" i="1"/>
  <c r="H14" i="1"/>
  <c r="I14" i="1"/>
  <c r="G15" i="1"/>
  <c r="H15" i="1"/>
  <c r="I15" i="1"/>
  <c r="G16" i="1"/>
  <c r="H16" i="1"/>
  <c r="I16" i="1"/>
  <c r="M16" i="1" s="1"/>
  <c r="G17" i="1"/>
  <c r="H17" i="1"/>
  <c r="I17" i="1"/>
  <c r="M17" i="1" s="1"/>
  <c r="G18" i="1"/>
  <c r="H18" i="1"/>
  <c r="I18" i="1"/>
  <c r="G19" i="1"/>
  <c r="H19" i="1"/>
  <c r="I19" i="1"/>
  <c r="G20" i="1"/>
  <c r="H20" i="1"/>
  <c r="I20" i="1"/>
  <c r="G21" i="1"/>
  <c r="H21" i="1"/>
  <c r="I21" i="1"/>
  <c r="G22" i="1"/>
  <c r="H22" i="1"/>
  <c r="I22" i="1"/>
  <c r="C25" i="1"/>
  <c r="D25" i="1"/>
  <c r="F25" i="1"/>
  <c r="G29" i="1"/>
  <c r="B30" i="1"/>
  <c r="G30" i="1"/>
  <c r="G32" i="1"/>
  <c r="G13" i="6"/>
  <c r="H13" i="6"/>
  <c r="I13" i="6"/>
  <c r="G14" i="6"/>
  <c r="H14" i="6"/>
  <c r="I14" i="6"/>
  <c r="G15" i="6"/>
  <c r="H15" i="6"/>
  <c r="G16" i="6"/>
  <c r="H16" i="6"/>
  <c r="I16" i="6"/>
  <c r="M16" i="6" s="1"/>
  <c r="G17" i="6"/>
  <c r="H17" i="6"/>
  <c r="G18" i="6"/>
  <c r="H18" i="6"/>
  <c r="I18" i="6"/>
  <c r="G19" i="6"/>
  <c r="H19" i="6"/>
  <c r="I19" i="6"/>
  <c r="G20" i="6"/>
  <c r="H20" i="6"/>
  <c r="I20" i="6"/>
  <c r="G21" i="6"/>
  <c r="H21" i="6"/>
  <c r="I21" i="6"/>
  <c r="G22" i="6"/>
  <c r="H22" i="6"/>
  <c r="I22" i="6"/>
  <c r="G23" i="6"/>
  <c r="H23" i="6"/>
  <c r="I23" i="6"/>
  <c r="C25" i="6"/>
  <c r="E25" i="6"/>
  <c r="F25" i="6"/>
  <c r="J25" i="6"/>
  <c r="K25" i="6"/>
  <c r="G29" i="6"/>
  <c r="B30" i="6"/>
  <c r="G30" i="6"/>
  <c r="G32" i="6"/>
  <c r="I12" i="6" l="1"/>
  <c r="I25" i="6" s="1"/>
  <c r="N25" i="6" s="1"/>
  <c r="G12" i="6"/>
  <c r="G25" i="6" s="1"/>
  <c r="N32" i="6" s="1"/>
  <c r="H12" i="6"/>
  <c r="H12" i="1"/>
  <c r="H25" i="1" s="1"/>
  <c r="G12" i="1"/>
  <c r="I12" i="1"/>
  <c r="N29" i="6"/>
  <c r="N31" i="6"/>
  <c r="N28" i="6"/>
  <c r="N28" i="1"/>
  <c r="G25" i="1"/>
  <c r="N30" i="1" s="1"/>
  <c r="N31" i="1"/>
  <c r="N29" i="1"/>
  <c r="M25" i="6" l="1"/>
  <c r="H25" i="6"/>
  <c r="M25" i="1"/>
  <c r="I25" i="1"/>
  <c r="N25" i="1" s="1"/>
  <c r="N30" i="6"/>
  <c r="N32" i="1"/>
</calcChain>
</file>

<file path=xl/sharedStrings.xml><?xml version="1.0" encoding="utf-8"?>
<sst xmlns="http://schemas.openxmlformats.org/spreadsheetml/2006/main" count="116" uniqueCount="60">
  <si>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</si>
  <si>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</si>
  <si>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</si>
  <si>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</si>
  <si>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</si>
  <si>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</si>
  <si>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</si>
  <si>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</si>
  <si>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</si>
  <si>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</si>
  <si>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</si>
  <si>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</si>
  <si>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</si>
  <si>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</si>
  <si>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</si>
  <si>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</si>
  <si>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</si>
  <si>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</si>
  <si>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</si>
  <si>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</si>
  <si>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</si>
  <si>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</si>
  <si>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</si>
  <si>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</si>
  <si>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</si>
  <si>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</si>
  <si>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</si>
  <si>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</si>
  <si>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</si>
  <si>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</si>
  <si>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</si>
  <si>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</si>
  <si>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</si>
  <si>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</si>
  <si>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</si>
  <si>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</si>
  <si>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</si>
  <si>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</si>
  <si>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Prior Year Data</t>
  </si>
  <si>
    <t>Surplus (Deficit)</t>
  </si>
  <si>
    <t>Monthly Performance Report - Budgeted vs Actual Claims Paid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</si>
  <si>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</si>
  <si>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Unity Care NW</t>
  </si>
  <si>
    <t>S441</t>
  </si>
  <si>
    <t>Standard</t>
  </si>
  <si>
    <t>S441DEN-VIS</t>
  </si>
  <si>
    <t>100% of the first $1,500</t>
  </si>
  <si>
    <t>Ortho covered for Adults and Children</t>
  </si>
  <si>
    <t>Annual Maximum Amount $1,500 (incl $600 Vision Max)</t>
  </si>
  <si>
    <t>Assignment of Benefits</t>
  </si>
  <si>
    <t>Vision</t>
  </si>
  <si>
    <t>S441VIS</t>
  </si>
  <si>
    <t>Willamette Vision Plan Only</t>
  </si>
  <si>
    <t>$600 Calendar Year Max per person</t>
  </si>
  <si>
    <t>$300 cap on all frames</t>
  </si>
  <si>
    <t>lens frames ; after medical pays cataract surgery &amp; LASIK</t>
  </si>
  <si>
    <t xml:space="preserve">100% for all vision services; exams, contact lenses &amp; exams, </t>
  </si>
  <si>
    <t>ES</t>
  </si>
  <si>
    <t>Dental</t>
  </si>
  <si>
    <t>Unity Care Vision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</si>
</sst>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sz val="12"/>
      <name val="Arial"/>
      <family val="2"/>
    </font>
    <font>
      <b/>
      <sz val="12"/>
      <name val="Arial"/>
      <family val="2"/>
    </font>
    <font>
      <u/>
      <sz val="12"/>
      <name val="Arial"/>
      <family val="2"/>
    </font>
    <font>
      <b/>
      <sz val="12"/>
      <color rgb="FF00B050"/>
      <name val="Arial"/>
      <family val="2"/>
    </font>
    <font>
      <sz val="12"/>
      <color rgb="FF00B050"/>
      <name val="Arial"/>
      <family val="2"/>
    </font>
    <font>
      <sz val="12"/>
      <color theme="0"/>
      <name val="Arial"/>
      <family val="2"/>
    </font>
    <font>
      <sz val="12"/>
      <color theme="1"/>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50">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applyProtection="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44" fontId="11" fillId="0" borderId="0" xfId="2" applyFont="1" applyBorder="1" applyAlignment="1" applyProtection="1">
      <alignment horizontal="right"/>
    </xf>
    <xf numFmtId="0" fontId="11" fillId="0" borderId="0" xfId="0" applyFont="1"/>
    <xf numFmtId="2" fontId="12" fillId="0" borderId="1" xfId="0" applyNumberFormat="1" applyFont="1" applyBorder="1" applyAlignment="1">
      <alignment horizontal="center" vertical="center"/>
    </xf>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Border="1" applyAlignment="1" applyProtection="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1" fillId="0" borderId="6" xfId="0" quotePrefix="1" applyNumberFormat="1" applyFont="1" applyBorder="1" applyAlignment="1">
      <alignment horizontal="right"/>
    </xf>
    <xf numFmtId="165" fontId="11" fillId="0" borderId="4" xfId="1" applyNumberFormat="1" applyFont="1" applyBorder="1" applyAlignment="1" applyProtection="1">
      <alignment horizontal="right"/>
    </xf>
    <xf numFmtId="165" fontId="11" fillId="0" borderId="5" xfId="1" applyNumberFormat="1" applyFont="1" applyBorder="1" applyAlignment="1" applyProtection="1">
      <alignment horizontal="right"/>
    </xf>
    <xf numFmtId="44" fontId="11" fillId="0" borderId="11" xfId="2" applyFont="1" applyBorder="1" applyAlignment="1" applyProtection="1">
      <alignment horizontal="right"/>
    </xf>
    <xf numFmtId="44" fontId="11" fillId="0" borderId="6" xfId="2" applyFont="1" applyBorder="1" applyAlignment="1" applyProtection="1">
      <alignment horizontal="right"/>
    </xf>
    <xf numFmtId="44" fontId="11" fillId="0" borderId="4" xfId="2" applyFont="1" applyBorder="1" applyAlignment="1" applyProtection="1">
      <alignment horizontal="center"/>
    </xf>
    <xf numFmtId="44" fontId="11" fillId="0" borderId="4" xfId="2" applyFont="1" applyBorder="1" applyProtection="1"/>
    <xf numFmtId="165" fontId="11" fillId="0" borderId="5" xfId="1" applyNumberFormat="1" applyFont="1" applyBorder="1" applyAlignment="1" applyProtection="1">
      <alignment horizontal="center" wrapText="1"/>
    </xf>
    <xf numFmtId="44" fontId="11" fillId="0" borderId="6" xfId="2" applyFont="1" applyBorder="1" applyProtection="1"/>
    <xf numFmtId="10" fontId="11" fillId="0" borderId="5" xfId="3" applyNumberFormat="1" applyFont="1" applyBorder="1" applyProtection="1"/>
    <xf numFmtId="165" fontId="11" fillId="0" borderId="0" xfId="0" applyNumberFormat="1" applyFont="1"/>
    <xf numFmtId="17" fontId="11" fillId="0" borderId="2" xfId="0" applyNumberFormat="1" applyFont="1" applyBorder="1" applyAlignment="1">
      <alignment horizontal="right"/>
    </xf>
    <xf numFmtId="165" fontId="11" fillId="0" borderId="0" xfId="1" applyNumberFormat="1" applyFont="1" applyBorder="1" applyAlignment="1" applyProtection="1">
      <alignment horizontal="right"/>
    </xf>
    <xf numFmtId="165" fontId="11" fillId="0" borderId="12" xfId="1" applyNumberFormat="1" applyFont="1" applyBorder="1" applyAlignment="1" applyProtection="1">
      <alignment horizontal="right"/>
    </xf>
    <xf numFmtId="44" fontId="11" fillId="0" borderId="3" xfId="2" applyFont="1" applyBorder="1" applyAlignment="1" applyProtection="1">
      <alignment horizontal="right"/>
    </xf>
    <xf numFmtId="44" fontId="11" fillId="0" borderId="2" xfId="2" applyFont="1" applyBorder="1" applyAlignment="1" applyProtection="1">
      <alignment horizontal="right"/>
    </xf>
    <xf numFmtId="10" fontId="11" fillId="0" borderId="12" xfId="3" applyNumberFormat="1" applyFont="1" applyBorder="1" applyAlignment="1" applyProtection="1">
      <alignment horizontal="right"/>
    </xf>
    <xf numFmtId="165" fontId="11" fillId="0" borderId="0" xfId="1" applyNumberFormat="1" applyFont="1" applyProtection="1"/>
    <xf numFmtId="165" fontId="11" fillId="0" borderId="8" xfId="1" applyNumberFormat="1" applyFont="1" applyBorder="1" applyAlignment="1" applyProtection="1">
      <alignment horizontal="right"/>
    </xf>
    <xf numFmtId="44" fontId="11" fillId="0" borderId="7" xfId="2" applyFont="1" applyBorder="1" applyAlignment="1" applyProtection="1">
      <alignment horizontal="right"/>
    </xf>
    <xf numFmtId="44" fontId="11" fillId="0" borderId="8" xfId="2" applyFont="1" applyBorder="1" applyAlignment="1" applyProtection="1">
      <alignment horizontal="center"/>
    </xf>
    <xf numFmtId="44" fontId="11" fillId="0" borderId="8" xfId="2" applyFont="1" applyBorder="1" applyProtection="1"/>
    <xf numFmtId="165" fontId="11" fillId="0" borderId="10" xfId="1" applyNumberFormat="1" applyFont="1" applyBorder="1" applyAlignment="1" applyProtection="1">
      <alignment horizontal="center" wrapText="1"/>
    </xf>
    <xf numFmtId="44" fontId="11" fillId="0" borderId="7" xfId="2" applyFont="1" applyBorder="1" applyProtection="1"/>
    <xf numFmtId="0" fontId="12" fillId="0" borderId="13" xfId="0" applyFont="1" applyBorder="1" applyAlignment="1">
      <alignment horizontal="right"/>
    </xf>
    <xf numFmtId="165" fontId="12" fillId="0" borderId="14" xfId="1" applyNumberFormat="1" applyFont="1" applyBorder="1" applyAlignment="1" applyProtection="1">
      <alignment horizontal="right"/>
    </xf>
    <xf numFmtId="0" fontId="12" fillId="0" borderId="0" xfId="0" applyFont="1"/>
    <xf numFmtId="44" fontId="12" fillId="0" borderId="13" xfId="2" applyFont="1" applyBorder="1" applyProtection="1"/>
    <xf numFmtId="44" fontId="12" fillId="0" borderId="14" xfId="2" applyFont="1" applyBorder="1" applyProtection="1"/>
    <xf numFmtId="44" fontId="12" fillId="0" borderId="14" xfId="2" applyFont="1" applyBorder="1" applyAlignment="1" applyProtection="1">
      <alignment horizontal="right"/>
    </xf>
    <xf numFmtId="165" fontId="12" fillId="0" borderId="15" xfId="1" applyNumberFormat="1" applyFont="1" applyBorder="1" applyAlignment="1" applyProtection="1">
      <alignment horizontal="center" wrapText="1"/>
    </xf>
    <xf numFmtId="10" fontId="12" fillId="0" borderId="15" xfId="0" applyNumberFormat="1" applyFont="1" applyBorder="1" applyAlignment="1">
      <alignment horizontal="right"/>
    </xf>
    <xf numFmtId="0" fontId="11" fillId="0" borderId="0" xfId="0" applyFont="1" applyAlignment="1">
      <alignment horizontal="center"/>
    </xf>
    <xf numFmtId="0" fontId="11" fillId="0" borderId="0" xfId="0" applyFont="1" applyAlignment="1">
      <alignment horizontal="center" wrapText="1"/>
    </xf>
    <xf numFmtId="0" fontId="12" fillId="0" borderId="0" xfId="0" applyFont="1" applyAlignment="1">
      <alignment horizontal="center"/>
    </xf>
    <xf numFmtId="0" fontId="11" fillId="0" borderId="16" xfId="0" applyFont="1" applyBorder="1"/>
    <xf numFmtId="0" fontId="11" fillId="0" borderId="17" xfId="0" applyFont="1" applyBorder="1" applyAlignment="1">
      <alignment horizontal="center"/>
    </xf>
    <xf numFmtId="44" fontId="11" fillId="0" borderId="17" xfId="2" applyFont="1" applyBorder="1" applyProtection="1"/>
    <xf numFmtId="0" fontId="11" fillId="0" borderId="17" xfId="0" applyFont="1" applyBorder="1" applyAlignment="1">
      <alignment horizontal="right"/>
    </xf>
    <xf numFmtId="167" fontId="11" fillId="0" borderId="17" xfId="0" applyNumberFormat="1" applyFont="1" applyBorder="1" applyAlignment="1">
      <alignment horizontal="center"/>
    </xf>
    <xf numFmtId="167" fontId="11" fillId="0" borderId="0" xfId="0" applyNumberFormat="1" applyFont="1" applyAlignment="1">
      <alignment horizontal="center"/>
    </xf>
    <xf numFmtId="165" fontId="11" fillId="0" borderId="17" xfId="1" applyNumberFormat="1" applyFont="1" applyBorder="1" applyAlignment="1" applyProtection="1">
      <alignment horizontal="right"/>
    </xf>
    <xf numFmtId="43" fontId="11" fillId="0" borderId="17" xfId="1" applyFont="1" applyBorder="1" applyProtection="1"/>
    <xf numFmtId="10" fontId="11" fillId="0" borderId="17" xfId="0" applyNumberFormat="1" applyFont="1" applyBorder="1"/>
    <xf numFmtId="167" fontId="11" fillId="0" borderId="0" xfId="0" applyNumberFormat="1" applyFont="1" applyAlignment="1">
      <alignment horizontal="right"/>
    </xf>
    <xf numFmtId="0" fontId="11" fillId="0" borderId="0" xfId="0" applyFont="1" applyAlignment="1">
      <alignment horizontal="left"/>
    </xf>
    <xf numFmtId="8" fontId="11" fillId="0" borderId="0" xfId="0" applyNumberFormat="1" applyFont="1"/>
    <xf numFmtId="3" fontId="11" fillId="0" borderId="0" xfId="0" applyNumberFormat="1" applyFont="1" applyAlignment="1">
      <alignment horizontal="left"/>
    </xf>
    <xf numFmtId="0" fontId="14" fillId="0" borderId="18" xfId="0" applyFont="1" applyBorder="1" applyAlignment="1">
      <alignment horizontal="right"/>
    </xf>
    <xf numFmtId="44" fontId="15" fillId="0" borderId="0" xfId="2" applyFont="1" applyBorder="1" applyProtection="1"/>
    <xf numFmtId="10" fontId="16" fillId="0" borderId="10" xfId="3" applyNumberFormat="1" applyFont="1" applyBorder="1" applyAlignment="1" applyProtection="1">
      <alignment vertical="center"/>
    </xf>
    <xf numFmtId="17" fontId="11" fillId="0" borderId="2" xfId="0" quotePrefix="1" applyNumberFormat="1" applyFont="1" applyBorder="1" applyAlignment="1">
      <alignment horizontal="right"/>
    </xf>
    <xf numFmtId="44" fontId="15" fillId="0" borderId="17" xfId="2" applyFont="1" applyBorder="1" applyProtection="1"/>
    <xf numFmtId="43" fontId="15" fillId="0" borderId="17" xfId="1" applyFont="1" applyBorder="1" applyProtection="1"/>
    <xf numFmtId="10" fontId="15" fillId="0" borderId="17" xfId="0" applyNumberFormat="1" applyFont="1" applyBorder="1"/>
    <xf numFmtId="10" fontId="17" fillId="0" borderId="12" xfId="3" applyNumberFormat="1" applyFont="1" applyBorder="1" applyAlignment="1" applyProtection="1">
      <alignment horizontal="right"/>
    </xf>
    <xf numFmtId="17" fontId="11" fillId="0" borderId="7" xfId="0" quotePrefix="1" applyNumberFormat="1" applyFont="1" applyBorder="1" applyAlignment="1">
      <alignment horizontal="right"/>
    </xf>
    <xf numFmtId="44" fontId="11" fillId="0" borderId="0" xfId="2" applyFont="1" applyBorder="1" applyAlignment="1" applyProtection="1">
      <alignment horizontal="center"/>
    </xf>
    <xf numFmtId="44" fontId="11" fillId="0" borderId="0" xfId="2" applyFont="1" applyBorder="1" applyProtection="1"/>
    <xf numFmtId="165" fontId="11" fillId="0" borderId="12" xfId="1" applyNumberFormat="1" applyFont="1" applyBorder="1" applyAlignment="1" applyProtection="1">
      <alignment horizontal="center" wrapText="1"/>
    </xf>
    <xf numFmtId="0" fontId="11" fillId="0" borderId="16" xfId="0" applyFont="1" applyBorder="1" applyAlignment="1">
      <alignment horizontal="right"/>
    </xf>
    <xf numFmtId="0" fontId="11" fillId="0" borderId="19" xfId="0" applyFont="1" applyBorder="1" applyAlignment="1">
      <alignment horizontal="right"/>
    </xf>
    <xf numFmtId="0" fontId="11" fillId="0" borderId="20" xfId="0" applyFont="1" applyBorder="1" applyAlignment="1">
      <alignment horizontal="right"/>
    </xf>
    <xf numFmtId="3" fontId="11" fillId="0" borderId="2" xfId="0" applyNumberFormat="1" applyFont="1" applyBorder="1" applyAlignment="1">
      <alignment horizontal="left"/>
    </xf>
    <xf numFmtId="3" fontId="11" fillId="0" borderId="0" xfId="0" applyNumberFormat="1" applyFont="1" applyAlignment="1">
      <alignment horizontal="left"/>
    </xf>
    <xf numFmtId="3" fontId="11" fillId="0" borderId="12" xfId="0" applyNumberFormat="1" applyFont="1" applyBorder="1" applyAlignment="1">
      <alignment horizontal="left"/>
    </xf>
    <xf numFmtId="0" fontId="11" fillId="0" borderId="19" xfId="0" applyFont="1" applyBorder="1" applyAlignment="1">
      <alignment horizontal="center"/>
    </xf>
    <xf numFmtId="0" fontId="11" fillId="0" borderId="20" xfId="0" applyFont="1" applyBorder="1" applyAlignment="1">
      <alignment horizontal="center"/>
    </xf>
    <xf numFmtId="0" fontId="11" fillId="0" borderId="16" xfId="0" applyFont="1" applyBorder="1" applyAlignment="1">
      <alignment horizontal="center"/>
    </xf>
    <xf numFmtId="167" fontId="11" fillId="0" borderId="19" xfId="0" applyNumberFormat="1" applyFont="1" applyBorder="1" applyAlignment="1">
      <alignment horizontal="center"/>
    </xf>
    <xf numFmtId="167" fontId="11" fillId="0" borderId="20" xfId="0" applyNumberFormat="1" applyFont="1" applyBorder="1" applyAlignment="1">
      <alignment horizontal="center"/>
    </xf>
    <xf numFmtId="167" fontId="11" fillId="0" borderId="16" xfId="0" applyNumberFormat="1" applyFont="1" applyBorder="1" applyAlignment="1">
      <alignment horizontal="center"/>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23" xfId="0" applyFont="1" applyBorder="1" applyAlignment="1">
      <alignment horizontal="center"/>
    </xf>
    <xf numFmtId="0" fontId="12" fillId="0" borderId="16" xfId="0" applyFont="1" applyBorder="1" applyAlignment="1">
      <alignment horizontal="center"/>
    </xf>
    <xf numFmtId="0" fontId="3" fillId="0" borderId="0" xfId="0" applyFont="1" applyAlignment="1">
      <alignment horizontal="right"/>
    </xf>
    <xf numFmtId="0" fontId="1" fillId="0" borderId="0" xfId="0" applyFont="1" applyAlignment="1">
      <alignment horizontal="left"/>
    </xf>
    <xf numFmtId="0" fontId="1" fillId="0" borderId="0" xfId="0" applyFont="1" applyAlignment="1">
      <alignment horizontal="center"/>
    </xf>
    <xf numFmtId="0" fontId="3" fillId="0" borderId="0" xfId="0" applyFont="1" applyAlignment="1">
      <alignment horizontal="center"/>
    </xf>
    <xf numFmtId="0" fontId="11" fillId="0" borderId="24"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0" xfId="0" applyFont="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4" fillId="0" borderId="16" xfId="0" applyFont="1" applyBorder="1" applyAlignment="1">
      <alignment horizontal="center"/>
    </xf>
    <xf numFmtId="0" fontId="15" fillId="0" borderId="19" xfId="0" applyFont="1" applyBorder="1" applyAlignment="1">
      <alignment horizontal="center"/>
    </xf>
    <xf numFmtId="0" fontId="15" fillId="0" borderId="20" xfId="0" applyFont="1" applyBorder="1" applyAlignment="1">
      <alignment horizontal="center"/>
    </xf>
    <xf numFmtId="0" fontId="15" fillId="0" borderId="16" xfId="0" applyFont="1" applyBorder="1" applyAlignment="1">
      <alignment horizontal="right"/>
    </xf>
    <xf numFmtId="0" fontId="15" fillId="0" borderId="19" xfId="0" applyFont="1" applyBorder="1" applyAlignment="1">
      <alignment horizontal="right"/>
    </xf>
    <xf numFmtId="0" fontId="15" fillId="0" borderId="20" xfId="0" applyFont="1" applyBorder="1" applyAlignment="1">
      <alignment horizontal="right"/>
    </xf>
    <xf numFmtId="0" fontId="14" fillId="0" borderId="16" xfId="0" applyFont="1" applyBorder="1" applyAlignment="1">
      <alignment horizontal="right"/>
    </xf>
    <xf numFmtId="0" fontId="14" fillId="0" borderId="19" xfId="0" applyFont="1" applyBorder="1" applyAlignment="1">
      <alignment horizontal="right"/>
    </xf>
    <xf numFmtId="0" fontId="14" fillId="0" borderId="20" xfId="0" applyFont="1" applyBorder="1" applyAlignment="1">
      <alignment horizontal="right"/>
    </xf>
    <xf numFmtId="3" fontId="11" fillId="0" borderId="7" xfId="0" applyNumberFormat="1" applyFont="1" applyBorder="1" applyAlignment="1">
      <alignment horizontal="left"/>
    </xf>
    <xf numFmtId="3" fontId="11" fillId="0" borderId="8" xfId="0" applyNumberFormat="1" applyFont="1" applyBorder="1" applyAlignment="1">
      <alignment horizontal="left"/>
    </xf>
    <xf numFmtId="3" fontId="11" fillId="0" borderId="10" xfId="0" applyNumberFormat="1" applyFont="1" applyBorder="1" applyAlignment="1">
      <alignment horizontal="left"/>
    </xf>
    <xf numFmtId="0" fontId="12" fillId="0" borderId="11" xfId="0" applyFont="1" applyBorder="1" applyAlignment="1">
      <alignment horizontal="center"/>
    </xf>
    <xf numFmtId="3" fontId="11" fillId="0" borderId="6" xfId="0" applyNumberFormat="1" applyFont="1" applyBorder="1" applyAlignment="1">
      <alignment horizontal="left"/>
    </xf>
    <xf numFmtId="3" fontId="11" fillId="0" borderId="4" xfId="0" applyNumberFormat="1" applyFont="1" applyBorder="1" applyAlignment="1">
      <alignment horizontal="left"/>
    </xf>
    <xf numFmtId="3" fontId="11" fillId="0" borderId="5" xfId="0" applyNumberFormat="1" applyFont="1" applyBorder="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501650</xdr:colOff>
      <xdr:row>3</xdr:row>
      <xdr:rowOff>101600</xdr:rowOff>
    </xdr:to>
    <xdr:pic>
      <xdr:nvPicPr>
        <xdr:cNvPr id="3143" name="Picture 1">
          <a:extLst>
            <a:ext uri="{FF2B5EF4-FFF2-40B4-BE49-F238E27FC236}">
              <a16:creationId xmlns:a16="http://schemas.microsoft.com/office/drawing/2014/main" id="{00000000-0008-0000-0000-000047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95250</xdr:rowOff>
    </xdr:from>
    <xdr:to>
      <xdr:col>2</xdr:col>
      <xdr:colOff>161925</xdr:colOff>
      <xdr:row>3</xdr:row>
      <xdr:rowOff>38100</xdr:rowOff>
    </xdr:to>
    <xdr:pic>
      <xdr:nvPicPr>
        <xdr:cNvPr id="8244" name="Picture 1">
          <a:extLst>
            <a:ext uri="{FF2B5EF4-FFF2-40B4-BE49-F238E27FC236}">
              <a16:creationId xmlns:a16="http://schemas.microsoft.com/office/drawing/2014/main" id="{00000000-0008-0000-0200-000034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352425"/>
          <a:ext cx="12382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T34" sqref="T34"/>
    </sheetView>
  </sheetViews>
  <sheetFormatPr defaultColWidth="9.140625" defaultRowHeight="10.15" customHeight="1" x14ac:dyDescent="0.2"/>
  <cols>
    <col min="1" max="1" width="5" style="17" customWidth="1"/>
    <col min="2" max="2" width="16.1406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23" t="s">
        <v>42</v>
      </c>
      <c r="C1" s="123"/>
      <c r="D1" s="123"/>
      <c r="E1" s="123"/>
      <c r="F1" s="123"/>
      <c r="G1" s="123"/>
      <c r="H1" s="123"/>
      <c r="I1" s="123"/>
      <c r="J1" s="123"/>
      <c r="K1" s="123"/>
      <c r="L1" s="123"/>
      <c r="M1" s="123"/>
      <c r="N1" s="123"/>
    </row>
    <row r="2" spans="2:26" s="1" customFormat="1" ht="20.25" customHeight="1" x14ac:dyDescent="0.25">
      <c r="B2" s="124" t="s">
        <v>40</v>
      </c>
      <c r="C2" s="124"/>
      <c r="D2" s="124"/>
      <c r="E2" s="124"/>
      <c r="F2" s="124"/>
      <c r="G2" s="124"/>
      <c r="H2" s="124"/>
      <c r="I2" s="124"/>
      <c r="J2" s="124"/>
      <c r="K2" s="124"/>
      <c r="L2" s="124"/>
      <c r="M2" s="124"/>
      <c r="N2" s="124"/>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21" t="s">
        <v>2</v>
      </c>
      <c r="C5" s="121"/>
      <c r="D5" s="122" t="s">
        <v>43</v>
      </c>
      <c r="E5" s="122"/>
      <c r="F5" s="122"/>
      <c r="G5" s="122"/>
      <c r="H5" s="15"/>
      <c r="I5" s="16"/>
      <c r="J5" s="16"/>
      <c r="K5" s="121" t="s">
        <v>3</v>
      </c>
      <c r="L5" s="121"/>
      <c r="M5" s="122" t="s">
        <v>44</v>
      </c>
      <c r="N5" s="122"/>
    </row>
    <row r="6" spans="2:26" s="1" customFormat="1" ht="20.25" customHeight="1" x14ac:dyDescent="0.25">
      <c r="B6" s="121" t="s">
        <v>4</v>
      </c>
      <c r="C6" s="121"/>
      <c r="D6" s="122" t="s">
        <v>58</v>
      </c>
      <c r="E6" s="122"/>
      <c r="F6" s="122"/>
      <c r="G6" s="122"/>
      <c r="H6" s="15"/>
      <c r="I6" s="12"/>
      <c r="J6" s="12"/>
      <c r="K6" s="121" t="s">
        <v>5</v>
      </c>
      <c r="L6" s="121"/>
      <c r="M6" s="122" t="s">
        <v>45</v>
      </c>
      <c r="N6" s="122"/>
    </row>
    <row r="7" spans="2:26" ht="21" customHeight="1" thickBot="1" x14ac:dyDescent="0.25">
      <c r="C7" s="18"/>
      <c r="D7" s="18"/>
      <c r="E7" s="18"/>
    </row>
    <row r="8" spans="2:26" s="22" customFormat="1" ht="15.75" customHeight="1" thickBot="1" x14ac:dyDescent="0.25">
      <c r="B8" s="112" t="s">
        <v>6</v>
      </c>
      <c r="C8" s="113"/>
      <c r="D8" s="113"/>
      <c r="E8" s="113"/>
      <c r="F8" s="113"/>
      <c r="G8" s="113"/>
      <c r="H8" s="23" t="s">
        <v>7</v>
      </c>
      <c r="I8" s="114" t="s">
        <v>8</v>
      </c>
      <c r="J8" s="114"/>
      <c r="K8" s="114"/>
      <c r="L8" s="115"/>
      <c r="M8" s="116" t="s">
        <v>9</v>
      </c>
      <c r="N8" s="115"/>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57</v>
      </c>
      <c r="E10" s="33" t="s">
        <v>14</v>
      </c>
      <c r="F10" s="33" t="s">
        <v>15</v>
      </c>
      <c r="G10" s="33" t="s">
        <v>16</v>
      </c>
      <c r="H10" s="35" t="s">
        <v>17</v>
      </c>
      <c r="I10" s="36" t="s">
        <v>18</v>
      </c>
      <c r="J10" s="36" t="s">
        <v>19</v>
      </c>
      <c r="K10" s="36" t="s">
        <v>20</v>
      </c>
      <c r="L10" s="37" t="s">
        <v>21</v>
      </c>
      <c r="M10" s="38" t="s">
        <v>22</v>
      </c>
      <c r="N10" s="39" t="s">
        <v>23</v>
      </c>
    </row>
    <row r="11" spans="2:26" s="22" customFormat="1" ht="15.75" customHeight="1" x14ac:dyDescent="0.2">
      <c r="B11" s="40"/>
      <c r="C11" s="41"/>
      <c r="D11" s="41"/>
      <c r="E11" s="41"/>
      <c r="F11" s="41"/>
      <c r="G11" s="42"/>
      <c r="H11" s="43"/>
      <c r="I11" s="44"/>
      <c r="J11" s="45"/>
      <c r="K11" s="46"/>
      <c r="L11" s="47"/>
      <c r="M11" s="48"/>
      <c r="N11" s="49"/>
      <c r="R11" s="50"/>
    </row>
    <row r="12" spans="2:26" s="22" customFormat="1" ht="15.75" customHeight="1" x14ac:dyDescent="0.2">
      <c r="B12" s="91">
        <v>46023</v>
      </c>
      <c r="C12" s="52">
        <v>165</v>
      </c>
      <c r="D12" s="52">
        <v>25</v>
      </c>
      <c r="E12" s="52">
        <v>17</v>
      </c>
      <c r="F12" s="52">
        <v>17</v>
      </c>
      <c r="G12" s="53">
        <f>SUM(C12:F12)</f>
        <v>224</v>
      </c>
      <c r="H12" s="54">
        <f>(C12*$E$29)+(D12*$E$30)+(E12*$E$31)+(F12*$E$32)</f>
        <v>1164.8000000000002</v>
      </c>
      <c r="I12" s="55">
        <f t="shared" ref="I12:I23" si="0">(C12*$C$29)+(D12*$C$30)+(E12*$C$31)+(F12*$C$32)</f>
        <v>22294.25</v>
      </c>
      <c r="J12" s="21">
        <v>0</v>
      </c>
      <c r="K12" s="21">
        <v>0</v>
      </c>
      <c r="L12" s="53">
        <v>0</v>
      </c>
      <c r="M12" s="55">
        <f>I12-K12</f>
        <v>22294.25</v>
      </c>
      <c r="N12" s="56">
        <f>K12/I12</f>
        <v>0</v>
      </c>
      <c r="Q12" s="50"/>
      <c r="R12" s="50"/>
    </row>
    <row r="13" spans="2:26" s="22" customFormat="1" ht="15.75" customHeight="1" x14ac:dyDescent="0.2">
      <c r="B13" s="91">
        <v>46054</v>
      </c>
      <c r="C13" s="52">
        <v>156</v>
      </c>
      <c r="D13" s="52">
        <v>24</v>
      </c>
      <c r="E13" s="52">
        <v>18</v>
      </c>
      <c r="F13" s="52">
        <v>16</v>
      </c>
      <c r="G13" s="53">
        <f t="shared" ref="G13:G23" si="1">SUM(C13:F13)</f>
        <v>214</v>
      </c>
      <c r="H13" s="54">
        <f t="shared" ref="H13:H23" si="2">(C13*$E$29)+(D13*$E$30)+(E13*$E$31)+(F13*$E$32)</f>
        <v>1112.8</v>
      </c>
      <c r="I13" s="55">
        <f t="shared" si="0"/>
        <v>21377.18</v>
      </c>
      <c r="J13" s="21">
        <v>35319.68</v>
      </c>
      <c r="K13" s="21">
        <v>22759.01</v>
      </c>
      <c r="L13" s="53">
        <v>57</v>
      </c>
      <c r="M13" s="55">
        <f t="shared" ref="M13:M23" si="3">I13-K13</f>
        <v>-1381.8299999999981</v>
      </c>
      <c r="N13" s="56">
        <f t="shared" ref="N13:N17" si="4">K13/I13</f>
        <v>1.0646404249765402</v>
      </c>
      <c r="Q13" s="57"/>
      <c r="R13" s="50"/>
    </row>
    <row r="14" spans="2:26" s="22" customFormat="1" ht="15.75" customHeight="1" x14ac:dyDescent="0.2">
      <c r="B14" s="91">
        <v>46082</v>
      </c>
      <c r="C14" s="52">
        <v>158</v>
      </c>
      <c r="D14" s="52">
        <v>24</v>
      </c>
      <c r="E14" s="52">
        <v>17</v>
      </c>
      <c r="F14" s="52">
        <v>16</v>
      </c>
      <c r="G14" s="53">
        <f t="shared" si="1"/>
        <v>215</v>
      </c>
      <c r="H14" s="54">
        <f t="shared" si="2"/>
        <v>1118.0000000000002</v>
      </c>
      <c r="I14" s="55">
        <f t="shared" si="0"/>
        <v>21398.39</v>
      </c>
      <c r="J14" s="21">
        <v>47457.16</v>
      </c>
      <c r="K14" s="21">
        <v>36189.74</v>
      </c>
      <c r="L14" s="53">
        <v>113</v>
      </c>
      <c r="M14" s="55">
        <f t="shared" si="3"/>
        <v>-14791.349999999999</v>
      </c>
      <c r="N14" s="56">
        <f t="shared" si="4"/>
        <v>1.6912365836869034</v>
      </c>
      <c r="Q14" s="57"/>
      <c r="R14" s="50"/>
    </row>
    <row r="15" spans="2:26" s="22" customFormat="1" ht="15.75" customHeight="1" x14ac:dyDescent="0.2">
      <c r="B15" s="91">
        <v>46113</v>
      </c>
      <c r="C15" s="52">
        <v>165</v>
      </c>
      <c r="D15" s="52">
        <v>23</v>
      </c>
      <c r="E15" s="52">
        <v>15</v>
      </c>
      <c r="F15" s="52">
        <v>16</v>
      </c>
      <c r="G15" s="53">
        <f t="shared" si="1"/>
        <v>219</v>
      </c>
      <c r="H15" s="54">
        <f t="shared" si="2"/>
        <v>1138.8</v>
      </c>
      <c r="I15" s="55">
        <f t="shared" si="0"/>
        <v>21545.25</v>
      </c>
      <c r="J15" s="21">
        <v>69048.73</v>
      </c>
      <c r="K15" s="21">
        <v>39212.019999999997</v>
      </c>
      <c r="L15" s="53">
        <v>145</v>
      </c>
      <c r="M15" s="55">
        <f t="shared" si="3"/>
        <v>-17666.769999999997</v>
      </c>
      <c r="N15" s="56">
        <f t="shared" si="4"/>
        <v>1.8199844513291792</v>
      </c>
      <c r="Q15" s="57"/>
      <c r="R15" s="50"/>
    </row>
    <row r="16" spans="2:26" s="22" customFormat="1" ht="15.75" customHeight="1" x14ac:dyDescent="0.2">
      <c r="B16" s="91">
        <v>46143</v>
      </c>
      <c r="C16" s="52">
        <v>164</v>
      </c>
      <c r="D16" s="52">
        <v>23</v>
      </c>
      <c r="E16" s="52">
        <v>15</v>
      </c>
      <c r="F16" s="52">
        <v>16</v>
      </c>
      <c r="G16" s="53">
        <f t="shared" si="1"/>
        <v>218</v>
      </c>
      <c r="H16" s="54">
        <f t="shared" si="2"/>
        <v>1133.6000000000001</v>
      </c>
      <c r="I16" s="55">
        <f t="shared" si="0"/>
        <v>21465.82</v>
      </c>
      <c r="J16" s="21">
        <v>37380.29</v>
      </c>
      <c r="K16" s="21">
        <v>22018.13</v>
      </c>
      <c r="L16" s="53">
        <v>80</v>
      </c>
      <c r="M16" s="55">
        <f t="shared" si="3"/>
        <v>-552.31000000000131</v>
      </c>
      <c r="N16" s="56">
        <f t="shared" si="4"/>
        <v>1.0257297415146498</v>
      </c>
      <c r="Q16" s="57"/>
      <c r="R16" s="50"/>
    </row>
    <row r="17" spans="2:18" s="22" customFormat="1" ht="15.75" customHeight="1" x14ac:dyDescent="0.2">
      <c r="B17" s="91">
        <v>46174</v>
      </c>
      <c r="C17" s="52">
        <v>161</v>
      </c>
      <c r="D17" s="52">
        <v>23</v>
      </c>
      <c r="E17" s="52">
        <v>15</v>
      </c>
      <c r="F17" s="52">
        <v>16</v>
      </c>
      <c r="G17" s="53">
        <f t="shared" si="1"/>
        <v>215</v>
      </c>
      <c r="H17" s="54">
        <f t="shared" si="2"/>
        <v>1118.0000000000002</v>
      </c>
      <c r="I17" s="55">
        <f t="shared" si="0"/>
        <v>21227.53</v>
      </c>
      <c r="J17" s="21">
        <v>14437.14</v>
      </c>
      <c r="K17" s="21">
        <v>8330.77</v>
      </c>
      <c r="L17" s="53">
        <v>42</v>
      </c>
      <c r="M17" s="55">
        <f t="shared" si="3"/>
        <v>12896.759999999998</v>
      </c>
      <c r="N17" s="56">
        <f t="shared" si="4"/>
        <v>0.39245121782892312</v>
      </c>
      <c r="Q17" s="57"/>
      <c r="R17" s="50"/>
    </row>
    <row r="18" spans="2:18" s="22" customFormat="1" ht="15.75" customHeight="1" x14ac:dyDescent="0.2">
      <c r="B18" s="91">
        <v>46204</v>
      </c>
      <c r="C18" s="52"/>
      <c r="D18" s="52"/>
      <c r="E18" s="52"/>
      <c r="F18" s="52"/>
      <c r="G18" s="53">
        <f t="shared" si="1"/>
        <v>0</v>
      </c>
      <c r="H18" s="54">
        <f t="shared" si="2"/>
        <v>0</v>
      </c>
      <c r="I18" s="55">
        <f t="shared" si="0"/>
        <v>0</v>
      </c>
      <c r="J18" s="21"/>
      <c r="K18" s="21"/>
      <c r="L18" s="53"/>
      <c r="M18" s="55">
        <f t="shared" si="3"/>
        <v>0</v>
      </c>
      <c r="N18" s="56"/>
      <c r="Q18" s="57"/>
      <c r="R18" s="50"/>
    </row>
    <row r="19" spans="2:18" s="22" customFormat="1" ht="15.75" customHeight="1" x14ac:dyDescent="0.2">
      <c r="B19" s="91">
        <v>46235</v>
      </c>
      <c r="C19" s="52"/>
      <c r="D19" s="52"/>
      <c r="E19" s="52"/>
      <c r="F19" s="52"/>
      <c r="G19" s="53">
        <f t="shared" si="1"/>
        <v>0</v>
      </c>
      <c r="H19" s="54">
        <f t="shared" si="2"/>
        <v>0</v>
      </c>
      <c r="I19" s="55">
        <f t="shared" si="0"/>
        <v>0</v>
      </c>
      <c r="J19" s="21"/>
      <c r="K19" s="21"/>
      <c r="L19" s="53"/>
      <c r="M19" s="55">
        <f t="shared" si="3"/>
        <v>0</v>
      </c>
      <c r="N19" s="56"/>
      <c r="Q19" s="57"/>
      <c r="R19" s="50"/>
    </row>
    <row r="20" spans="2:18" s="22" customFormat="1" ht="15.75" customHeight="1" x14ac:dyDescent="0.2">
      <c r="B20" s="91">
        <v>46266</v>
      </c>
      <c r="C20" s="52"/>
      <c r="D20" s="52"/>
      <c r="E20" s="52"/>
      <c r="F20" s="52"/>
      <c r="G20" s="53">
        <f>SUM(C20:F20)</f>
        <v>0</v>
      </c>
      <c r="H20" s="54">
        <f t="shared" si="2"/>
        <v>0</v>
      </c>
      <c r="I20" s="55">
        <f t="shared" si="0"/>
        <v>0</v>
      </c>
      <c r="J20" s="21"/>
      <c r="K20" s="21"/>
      <c r="L20" s="53"/>
      <c r="M20" s="55">
        <f t="shared" si="3"/>
        <v>0</v>
      </c>
      <c r="N20" s="56"/>
      <c r="Q20" s="57"/>
      <c r="R20" s="50"/>
    </row>
    <row r="21" spans="2:18" s="22" customFormat="1" ht="15.75" customHeight="1" x14ac:dyDescent="0.2">
      <c r="B21" s="91">
        <v>46296</v>
      </c>
      <c r="C21" s="52"/>
      <c r="D21" s="52"/>
      <c r="E21" s="52"/>
      <c r="F21" s="52"/>
      <c r="G21" s="53">
        <f t="shared" si="1"/>
        <v>0</v>
      </c>
      <c r="H21" s="54">
        <f t="shared" si="2"/>
        <v>0</v>
      </c>
      <c r="I21" s="55">
        <f t="shared" si="0"/>
        <v>0</v>
      </c>
      <c r="J21" s="21"/>
      <c r="K21" s="21"/>
      <c r="L21" s="53"/>
      <c r="M21" s="55">
        <f t="shared" si="3"/>
        <v>0</v>
      </c>
      <c r="N21" s="95"/>
      <c r="Q21" s="57"/>
      <c r="R21" s="50"/>
    </row>
    <row r="22" spans="2:18" s="22" customFormat="1" ht="15.75" customHeight="1" x14ac:dyDescent="0.2">
      <c r="B22" s="91">
        <v>46327</v>
      </c>
      <c r="C22" s="52"/>
      <c r="D22" s="52"/>
      <c r="E22" s="52"/>
      <c r="F22" s="52"/>
      <c r="G22" s="53">
        <f t="shared" si="1"/>
        <v>0</v>
      </c>
      <c r="H22" s="54">
        <f t="shared" si="2"/>
        <v>0</v>
      </c>
      <c r="I22" s="55">
        <f t="shared" si="0"/>
        <v>0</v>
      </c>
      <c r="J22" s="21"/>
      <c r="K22" s="21"/>
      <c r="L22" s="53"/>
      <c r="M22" s="55">
        <f t="shared" si="3"/>
        <v>0</v>
      </c>
      <c r="N22" s="56"/>
      <c r="Q22" s="57"/>
      <c r="R22" s="50"/>
    </row>
    <row r="23" spans="2:18" s="22" customFormat="1" ht="15.75" customHeight="1" x14ac:dyDescent="0.2">
      <c r="B23" s="91">
        <v>46357</v>
      </c>
      <c r="C23" s="52"/>
      <c r="D23" s="52"/>
      <c r="E23" s="52"/>
      <c r="F23" s="52"/>
      <c r="G23" s="53">
        <f t="shared" si="1"/>
        <v>0</v>
      </c>
      <c r="H23" s="54">
        <f t="shared" si="2"/>
        <v>0</v>
      </c>
      <c r="I23" s="55">
        <f t="shared" si="0"/>
        <v>0</v>
      </c>
      <c r="J23" s="97"/>
      <c r="K23" s="98"/>
      <c r="L23" s="99"/>
      <c r="M23" s="55">
        <f t="shared" si="3"/>
        <v>0</v>
      </c>
      <c r="N23" s="95"/>
    </row>
    <row r="24" spans="2:18" s="22" customFormat="1" ht="15.75" customHeight="1" thickBot="1" x14ac:dyDescent="0.25">
      <c r="B24" s="96"/>
      <c r="C24" s="58"/>
      <c r="D24" s="58"/>
      <c r="E24" s="58"/>
      <c r="F24" s="58"/>
      <c r="G24" s="58"/>
      <c r="H24" s="59"/>
      <c r="I24" s="59"/>
      <c r="J24" s="60"/>
      <c r="K24" s="61"/>
      <c r="L24" s="62"/>
      <c r="M24" s="63"/>
      <c r="N24" s="90"/>
    </row>
    <row r="25" spans="2:18" s="66" customFormat="1" ht="15.75" customHeight="1" thickBot="1" x14ac:dyDescent="0.3">
      <c r="B25" s="64" t="s">
        <v>24</v>
      </c>
      <c r="C25" s="65">
        <f>AVERAGEIF(C12:C22,"&gt;0")</f>
        <v>161.5</v>
      </c>
      <c r="D25" s="65">
        <f>AVERAGEIF(D12:D22,"&gt;0")</f>
        <v>23.666666666666668</v>
      </c>
      <c r="E25" s="65">
        <f>AVERAGEIF(E12:E22,"&gt;0")</f>
        <v>16.166666666666668</v>
      </c>
      <c r="F25" s="65">
        <f>AVERAGEIF(F12:F22,"&gt;0")</f>
        <v>16.166666666666668</v>
      </c>
      <c r="G25" s="65">
        <f>AVERAGEIF(G12:G22,"&gt;0")</f>
        <v>217.5</v>
      </c>
      <c r="H25" s="67">
        <f>SUM(H11:H23)</f>
        <v>6786.0000000000009</v>
      </c>
      <c r="I25" s="67">
        <f>SUM(I11:I23)</f>
        <v>129308.42000000001</v>
      </c>
      <c r="J25" s="68">
        <f>SUM(J11:J23)</f>
        <v>203643</v>
      </c>
      <c r="K25" s="69">
        <f>SUM(K11:K23)</f>
        <v>128509.67</v>
      </c>
      <c r="L25" s="70">
        <f>SUM(L12:L23)</f>
        <v>437</v>
      </c>
      <c r="M25" s="67">
        <f>SUM(M12:M23)</f>
        <v>798.75000000000364</v>
      </c>
      <c r="N25" s="71">
        <f>K25/I25</f>
        <v>0.99382290805192719</v>
      </c>
    </row>
    <row r="26" spans="2:18" s="22" customFormat="1" ht="15.75" customHeight="1" x14ac:dyDescent="0.2">
      <c r="J26" s="72"/>
      <c r="L26" s="73"/>
    </row>
    <row r="27" spans="2:18" s="22" customFormat="1" ht="15.75" customHeight="1" x14ac:dyDescent="0.25">
      <c r="B27" s="117" t="s">
        <v>25</v>
      </c>
      <c r="C27" s="118"/>
      <c r="D27" s="118"/>
      <c r="E27" s="118"/>
      <c r="F27" s="118"/>
      <c r="G27" s="119"/>
      <c r="H27" s="74"/>
      <c r="J27" s="120" t="s">
        <v>26</v>
      </c>
      <c r="K27" s="106"/>
      <c r="L27" s="106"/>
      <c r="M27" s="106"/>
      <c r="N27" s="107"/>
    </row>
    <row r="28" spans="2:18" s="22" customFormat="1" ht="15.75" customHeight="1" x14ac:dyDescent="0.2">
      <c r="B28" s="75"/>
      <c r="C28" s="106" t="s">
        <v>27</v>
      </c>
      <c r="D28" s="107"/>
      <c r="E28" s="108" t="s">
        <v>28</v>
      </c>
      <c r="F28" s="107"/>
      <c r="G28" s="76" t="s">
        <v>16</v>
      </c>
      <c r="H28" s="72"/>
      <c r="J28" s="100" t="s">
        <v>29</v>
      </c>
      <c r="K28" s="101"/>
      <c r="L28" s="101"/>
      <c r="M28" s="102"/>
      <c r="N28" s="77">
        <f>J25/L25</f>
        <v>466.00228832951944</v>
      </c>
    </row>
    <row r="29" spans="2:18" s="22" customFormat="1" ht="15.75" customHeight="1" x14ac:dyDescent="0.2">
      <c r="B29" s="78" t="s">
        <v>30</v>
      </c>
      <c r="C29" s="109">
        <v>79.430000000000007</v>
      </c>
      <c r="D29" s="110"/>
      <c r="E29" s="111">
        <v>5.2</v>
      </c>
      <c r="F29" s="110"/>
      <c r="G29" s="79">
        <f>C29+E29</f>
        <v>84.63000000000001</v>
      </c>
      <c r="H29" s="80"/>
      <c r="J29" s="100" t="s">
        <v>31</v>
      </c>
      <c r="K29" s="101"/>
      <c r="L29" s="101"/>
      <c r="M29" s="102"/>
      <c r="N29" s="77">
        <f>K25/L25</f>
        <v>294.072471395881</v>
      </c>
    </row>
    <row r="30" spans="2:18" s="22" customFormat="1" ht="15.75" customHeight="1" x14ac:dyDescent="0.2">
      <c r="B30" s="81" t="str">
        <f>IF(D10="E+1","EE &amp; One","EE &amp; Spouse")</f>
        <v>EE &amp; Spouse</v>
      </c>
      <c r="C30" s="109">
        <v>133.85</v>
      </c>
      <c r="D30" s="110"/>
      <c r="E30" s="111">
        <v>5.2</v>
      </c>
      <c r="F30" s="110"/>
      <c r="G30" s="79">
        <f>C30+E30</f>
        <v>139.04999999999998</v>
      </c>
      <c r="H30" s="80"/>
      <c r="J30" s="100" t="s">
        <v>32</v>
      </c>
      <c r="K30" s="101"/>
      <c r="L30" s="101"/>
      <c r="M30" s="102"/>
      <c r="N30" s="82">
        <f>((L25/COUNTIF(G12:G22,"&gt;0"))*12)/G25</f>
        <v>4.0183908045977015</v>
      </c>
    </row>
    <row r="31" spans="2:18" s="22" customFormat="1" ht="15.75" customHeight="1" x14ac:dyDescent="0.2">
      <c r="B31" s="78" t="s">
        <v>33</v>
      </c>
      <c r="C31" s="109">
        <v>137.65</v>
      </c>
      <c r="D31" s="110"/>
      <c r="E31" s="111">
        <v>5.2</v>
      </c>
      <c r="F31" s="110"/>
      <c r="G31" s="79">
        <f>C31+E31</f>
        <v>142.85</v>
      </c>
      <c r="H31" s="80"/>
      <c r="J31" s="100" t="s">
        <v>34</v>
      </c>
      <c r="K31" s="101"/>
      <c r="L31" s="101"/>
      <c r="M31" s="102"/>
      <c r="N31" s="83">
        <f>K25/J25</f>
        <v>0.63105370673187877</v>
      </c>
    </row>
    <row r="32" spans="2:18" s="22" customFormat="1" ht="15.75" customHeight="1" x14ac:dyDescent="0.2">
      <c r="B32" s="78" t="s">
        <v>35</v>
      </c>
      <c r="C32" s="109">
        <v>206</v>
      </c>
      <c r="D32" s="110"/>
      <c r="E32" s="111">
        <v>5.2</v>
      </c>
      <c r="F32" s="110"/>
      <c r="G32" s="79">
        <f>C32+E32</f>
        <v>211.2</v>
      </c>
      <c r="H32" s="80"/>
      <c r="J32" s="100" t="s">
        <v>36</v>
      </c>
      <c r="K32" s="101"/>
      <c r="L32" s="101"/>
      <c r="M32" s="102"/>
      <c r="N32" s="77">
        <f>K25/G25/(COUNTIF(G12:G22,"&gt;0"))</f>
        <v>98.474842911877388</v>
      </c>
    </row>
    <row r="33" spans="2:14" s="22" customFormat="1" ht="15.75" customHeight="1" thickBot="1" x14ac:dyDescent="0.25">
      <c r="C33" s="80"/>
      <c r="D33" s="80"/>
      <c r="E33" s="80"/>
      <c r="F33" s="84"/>
      <c r="G33" s="80"/>
      <c r="H33" s="80"/>
      <c r="J33" s="85"/>
      <c r="K33" s="85"/>
      <c r="L33" s="85"/>
      <c r="M33" s="85"/>
      <c r="N33" s="86"/>
    </row>
    <row r="34" spans="2:14" s="22" customFormat="1" ht="15.75" customHeight="1" thickBot="1" x14ac:dyDescent="0.3">
      <c r="B34" s="146" t="s">
        <v>37</v>
      </c>
      <c r="C34" s="146"/>
      <c r="D34" s="146"/>
      <c r="E34" s="146"/>
      <c r="F34" s="146"/>
      <c r="G34" s="146"/>
      <c r="H34" s="74"/>
      <c r="J34" s="134" t="s">
        <v>38</v>
      </c>
      <c r="K34" s="135"/>
      <c r="L34" s="135"/>
      <c r="M34" s="135"/>
      <c r="N34" s="136"/>
    </row>
    <row r="35" spans="2:14" s="22" customFormat="1" ht="15.75" customHeight="1" x14ac:dyDescent="0.2">
      <c r="B35" s="147" t="s">
        <v>46</v>
      </c>
      <c r="C35" s="148"/>
      <c r="D35" s="148"/>
      <c r="E35" s="148"/>
      <c r="F35" s="148"/>
      <c r="G35" s="149"/>
      <c r="H35" s="87"/>
      <c r="J35" s="137" t="s">
        <v>29</v>
      </c>
      <c r="K35" s="138"/>
      <c r="L35" s="138"/>
      <c r="M35" s="139"/>
      <c r="N35" s="92">
        <v>362.17</v>
      </c>
    </row>
    <row r="36" spans="2:14" s="22" customFormat="1" ht="15.75" customHeight="1" x14ac:dyDescent="0.2">
      <c r="B36" s="103" t="s">
        <v>47</v>
      </c>
      <c r="C36" s="104"/>
      <c r="D36" s="104"/>
      <c r="E36" s="104"/>
      <c r="F36" s="104"/>
      <c r="G36" s="105"/>
      <c r="H36" s="87"/>
      <c r="J36" s="137" t="s">
        <v>31</v>
      </c>
      <c r="K36" s="138"/>
      <c r="L36" s="138"/>
      <c r="M36" s="139"/>
      <c r="N36" s="92">
        <v>280.24</v>
      </c>
    </row>
    <row r="37" spans="2:14" s="22" customFormat="1" ht="15.75" customHeight="1" x14ac:dyDescent="0.2">
      <c r="B37" s="103" t="s">
        <v>48</v>
      </c>
      <c r="C37" s="104"/>
      <c r="D37" s="104"/>
      <c r="E37" s="104"/>
      <c r="F37" s="104"/>
      <c r="G37" s="105"/>
      <c r="H37" s="87"/>
      <c r="J37" s="137" t="s">
        <v>32</v>
      </c>
      <c r="K37" s="138"/>
      <c r="L37" s="138"/>
      <c r="M37" s="139"/>
      <c r="N37" s="93">
        <v>4.3</v>
      </c>
    </row>
    <row r="38" spans="2:14" s="22" customFormat="1" ht="15.75" customHeight="1" x14ac:dyDescent="0.2">
      <c r="B38" s="103" t="s">
        <v>49</v>
      </c>
      <c r="C38" s="104"/>
      <c r="D38" s="104"/>
      <c r="E38" s="104"/>
      <c r="F38" s="104"/>
      <c r="G38" s="105"/>
      <c r="H38" s="87"/>
      <c r="J38" s="137" t="s">
        <v>34</v>
      </c>
      <c r="K38" s="138"/>
      <c r="L38" s="138"/>
      <c r="M38" s="139"/>
      <c r="N38" s="94">
        <v>0.77380000000000004</v>
      </c>
    </row>
    <row r="39" spans="2:14" s="22" customFormat="1" ht="15.75" thickBot="1" x14ac:dyDescent="0.25">
      <c r="B39" s="143"/>
      <c r="C39" s="144"/>
      <c r="D39" s="144"/>
      <c r="E39" s="144"/>
      <c r="F39" s="144"/>
      <c r="G39" s="145"/>
      <c r="H39" s="87"/>
      <c r="J39" s="137" t="s">
        <v>36</v>
      </c>
      <c r="K39" s="138"/>
      <c r="L39" s="138"/>
      <c r="M39" s="139"/>
      <c r="N39" s="92">
        <v>100.49</v>
      </c>
    </row>
    <row r="40" spans="2:14" s="22" customFormat="1" ht="15.75" x14ac:dyDescent="0.25">
      <c r="J40" s="140" t="s">
        <v>39</v>
      </c>
      <c r="K40" s="141"/>
      <c r="L40" s="141"/>
      <c r="M40" s="142"/>
      <c r="N40" s="92">
        <v>31370.38</v>
      </c>
    </row>
    <row r="41" spans="2:14" s="22" customFormat="1" ht="15.75" x14ac:dyDescent="0.25">
      <c r="J41" s="88"/>
      <c r="K41" s="88"/>
      <c r="L41" s="88"/>
      <c r="M41" s="88"/>
      <c r="N41" s="89"/>
    </row>
    <row r="42" spans="2:14" s="22" customFormat="1" ht="10.15" customHeight="1" x14ac:dyDescent="0.2">
      <c r="B42" s="125" t="s">
        <v>41</v>
      </c>
      <c r="C42" s="126"/>
      <c r="D42" s="126"/>
      <c r="E42" s="126"/>
      <c r="F42" s="126"/>
      <c r="G42" s="126"/>
      <c r="H42" s="126"/>
      <c r="I42" s="126"/>
      <c r="J42" s="126"/>
      <c r="K42" s="126"/>
      <c r="L42" s="126"/>
      <c r="M42" s="126"/>
      <c r="N42" s="127"/>
    </row>
    <row r="43" spans="2:14" s="22" customFormat="1" ht="10.15" customHeight="1" x14ac:dyDescent="0.2">
      <c r="B43" s="128"/>
      <c r="C43" s="129"/>
      <c r="D43" s="129"/>
      <c r="E43" s="129"/>
      <c r="F43" s="129"/>
      <c r="G43" s="129"/>
      <c r="H43" s="129"/>
      <c r="I43" s="129"/>
      <c r="J43" s="129"/>
      <c r="K43" s="129"/>
      <c r="L43" s="129"/>
      <c r="M43" s="129"/>
      <c r="N43" s="130"/>
    </row>
    <row r="44" spans="2:14" s="22" customFormat="1" ht="10.15" customHeight="1" x14ac:dyDescent="0.2">
      <c r="B44" s="128"/>
      <c r="C44" s="129"/>
      <c r="D44" s="129"/>
      <c r="E44" s="129"/>
      <c r="F44" s="129"/>
      <c r="G44" s="129"/>
      <c r="H44" s="129"/>
      <c r="I44" s="129"/>
      <c r="J44" s="129"/>
      <c r="K44" s="129"/>
      <c r="L44" s="129"/>
      <c r="M44" s="129"/>
      <c r="N44" s="130"/>
    </row>
    <row r="45" spans="2:14" s="22" customFormat="1" ht="10.15" customHeight="1" x14ac:dyDescent="0.2">
      <c r="B45" s="128"/>
      <c r="C45" s="129"/>
      <c r="D45" s="129"/>
      <c r="E45" s="129"/>
      <c r="F45" s="129"/>
      <c r="G45" s="129"/>
      <c r="H45" s="129"/>
      <c r="I45" s="129"/>
      <c r="J45" s="129"/>
      <c r="K45" s="129"/>
      <c r="L45" s="129"/>
      <c r="M45" s="129"/>
      <c r="N45" s="130"/>
    </row>
    <row r="46" spans="2:14" s="22" customFormat="1" ht="10.15" customHeight="1" x14ac:dyDescent="0.2">
      <c r="B46" s="128"/>
      <c r="C46" s="129"/>
      <c r="D46" s="129"/>
      <c r="E46" s="129"/>
      <c r="F46" s="129"/>
      <c r="G46" s="129"/>
      <c r="H46" s="129"/>
      <c r="I46" s="129"/>
      <c r="J46" s="129"/>
      <c r="K46" s="129"/>
      <c r="L46" s="129"/>
      <c r="M46" s="129"/>
      <c r="N46" s="130"/>
    </row>
    <row r="47" spans="2:14" s="22" customFormat="1" ht="10.15" customHeight="1" x14ac:dyDescent="0.2">
      <c r="B47" s="128"/>
      <c r="C47" s="129"/>
      <c r="D47" s="129"/>
      <c r="E47" s="129"/>
      <c r="F47" s="129"/>
      <c r="G47" s="129"/>
      <c r="H47" s="129"/>
      <c r="I47" s="129"/>
      <c r="J47" s="129"/>
      <c r="K47" s="129"/>
      <c r="L47" s="129"/>
      <c r="M47" s="129"/>
      <c r="N47" s="130"/>
    </row>
    <row r="48" spans="2:14" s="22" customFormat="1" ht="10.15" customHeight="1" x14ac:dyDescent="0.2">
      <c r="B48" s="131"/>
      <c r="C48" s="132"/>
      <c r="D48" s="132"/>
      <c r="E48" s="132"/>
      <c r="F48" s="132"/>
      <c r="G48" s="132"/>
      <c r="H48" s="132"/>
      <c r="I48" s="132"/>
      <c r="J48" s="132"/>
      <c r="K48" s="132"/>
      <c r="L48" s="132"/>
      <c r="M48" s="132"/>
      <c r="N48" s="133"/>
    </row>
    <row r="49" spans="10:12" s="22" customFormat="1" ht="10.15" customHeight="1" x14ac:dyDescent="0.2">
      <c r="J49" s="72"/>
      <c r="L49" s="73"/>
    </row>
  </sheetData>
  <mergeCells count="44">
    <mergeCell ref="B42:N48"/>
    <mergeCell ref="J34:N34"/>
    <mergeCell ref="J35:M35"/>
    <mergeCell ref="J36:M36"/>
    <mergeCell ref="J37:M37"/>
    <mergeCell ref="J38:M38"/>
    <mergeCell ref="J39:M39"/>
    <mergeCell ref="J40:M40"/>
    <mergeCell ref="B36:G36"/>
    <mergeCell ref="B37:G37"/>
    <mergeCell ref="B39:G39"/>
    <mergeCell ref="B34:G34"/>
    <mergeCell ref="B35:G35"/>
    <mergeCell ref="B6:C6"/>
    <mergeCell ref="D6:G6"/>
    <mergeCell ref="K6:L6"/>
    <mergeCell ref="M6:N6"/>
    <mergeCell ref="B1:N1"/>
    <mergeCell ref="B2:N2"/>
    <mergeCell ref="B5:C5"/>
    <mergeCell ref="D5:G5"/>
    <mergeCell ref="K5:L5"/>
    <mergeCell ref="M5:N5"/>
    <mergeCell ref="B8:G8"/>
    <mergeCell ref="I8:L8"/>
    <mergeCell ref="M8:N8"/>
    <mergeCell ref="B27:G27"/>
    <mergeCell ref="J27:N27"/>
    <mergeCell ref="J31:M31"/>
    <mergeCell ref="B38:G38"/>
    <mergeCell ref="C28:D28"/>
    <mergeCell ref="E28:F28"/>
    <mergeCell ref="J28:M28"/>
    <mergeCell ref="J32:M32"/>
    <mergeCell ref="C29:D29"/>
    <mergeCell ref="E29:F29"/>
    <mergeCell ref="J29:M29"/>
    <mergeCell ref="C30:D30"/>
    <mergeCell ref="E30:F30"/>
    <mergeCell ref="J30:M30"/>
    <mergeCell ref="C31:D31"/>
    <mergeCell ref="E31:F31"/>
    <mergeCell ref="C32:D32"/>
    <mergeCell ref="E32:F32"/>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2"/>
  <sheetViews>
    <sheetView workbookViewId="0">
      <selection activeCell="L18" sqref="L18"/>
    </sheetView>
  </sheetViews>
  <sheetFormatPr defaultColWidth="9.140625" defaultRowHeight="10.15" customHeight="1" x14ac:dyDescent="0.2"/>
  <cols>
    <col min="1" max="1" width="5" style="17" customWidth="1"/>
    <col min="2" max="2" width="16.1406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23" t="s">
        <v>59</v>
      </c>
      <c r="C1" s="123"/>
      <c r="D1" s="123"/>
      <c r="E1" s="123"/>
      <c r="F1" s="123"/>
      <c r="G1" s="123"/>
      <c r="H1" s="123"/>
      <c r="I1" s="123"/>
      <c r="J1" s="123"/>
      <c r="K1" s="123"/>
      <c r="L1" s="123"/>
      <c r="M1" s="123"/>
      <c r="N1" s="123"/>
    </row>
    <row r="2" spans="2:26" s="1" customFormat="1" ht="20.25" customHeight="1" x14ac:dyDescent="0.25">
      <c r="B2" s="124" t="str">
        <f>'Dental-Vision'!B2</f>
        <v>Monthly Performance Report - Budgeted vs Actual Claims Paid</v>
      </c>
      <c r="C2" s="124"/>
      <c r="D2" s="124"/>
      <c r="E2" s="124"/>
      <c r="F2" s="124"/>
      <c r="G2" s="124"/>
      <c r="H2" s="124"/>
      <c r="I2" s="124"/>
      <c r="J2" s="124"/>
      <c r="K2" s="124"/>
      <c r="L2" s="124"/>
      <c r="M2" s="124"/>
      <c r="N2" s="124"/>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21" t="s">
        <v>2</v>
      </c>
      <c r="C5" s="121"/>
      <c r="D5" s="122" t="s">
        <v>43</v>
      </c>
      <c r="E5" s="122"/>
      <c r="F5" s="122"/>
      <c r="G5" s="122"/>
      <c r="H5" s="15"/>
      <c r="I5" s="16"/>
      <c r="J5" s="16"/>
      <c r="K5" s="121" t="s">
        <v>3</v>
      </c>
      <c r="L5" s="121"/>
      <c r="M5" s="122" t="s">
        <v>44</v>
      </c>
      <c r="N5" s="122"/>
    </row>
    <row r="6" spans="2:26" s="1" customFormat="1" ht="20.25" customHeight="1" x14ac:dyDescent="0.25">
      <c r="B6" s="121" t="s">
        <v>4</v>
      </c>
      <c r="C6" s="121"/>
      <c r="D6" s="122" t="s">
        <v>50</v>
      </c>
      <c r="E6" s="122"/>
      <c r="F6" s="122"/>
      <c r="G6" s="122"/>
      <c r="H6" s="15"/>
      <c r="I6" s="12"/>
      <c r="J6" s="12"/>
      <c r="K6" s="121" t="s">
        <v>5</v>
      </c>
      <c r="L6" s="121"/>
      <c r="M6" s="122" t="s">
        <v>51</v>
      </c>
      <c r="N6" s="122"/>
    </row>
    <row r="7" spans="2:26" ht="21" customHeight="1" thickBot="1" x14ac:dyDescent="0.25">
      <c r="C7" s="18"/>
      <c r="D7" s="18"/>
      <c r="E7" s="18"/>
    </row>
    <row r="8" spans="2:26" s="22" customFormat="1" ht="15.75" customHeight="1" thickBot="1" x14ac:dyDescent="0.25">
      <c r="B8" s="112" t="s">
        <v>6</v>
      </c>
      <c r="C8" s="113"/>
      <c r="D8" s="113"/>
      <c r="E8" s="113"/>
      <c r="F8" s="113"/>
      <c r="G8" s="113"/>
      <c r="H8" s="23" t="s">
        <v>7</v>
      </c>
      <c r="I8" s="114" t="s">
        <v>8</v>
      </c>
      <c r="J8" s="114"/>
      <c r="K8" s="114"/>
      <c r="L8" s="115"/>
      <c r="M8" s="116" t="s">
        <v>9</v>
      </c>
      <c r="N8" s="115"/>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57</v>
      </c>
      <c r="E10" s="33" t="s">
        <v>14</v>
      </c>
      <c r="F10" s="33" t="s">
        <v>15</v>
      </c>
      <c r="G10" s="33" t="s">
        <v>16</v>
      </c>
      <c r="H10" s="35" t="s">
        <v>17</v>
      </c>
      <c r="I10" s="36" t="s">
        <v>18</v>
      </c>
      <c r="J10" s="36" t="s">
        <v>19</v>
      </c>
      <c r="K10" s="36" t="s">
        <v>20</v>
      </c>
      <c r="L10" s="37" t="s">
        <v>21</v>
      </c>
      <c r="M10" s="38" t="s">
        <v>22</v>
      </c>
      <c r="N10" s="39" t="s">
        <v>23</v>
      </c>
    </row>
    <row r="11" spans="2:26" s="22" customFormat="1" ht="15.75" customHeight="1" x14ac:dyDescent="0.2">
      <c r="B11" s="40"/>
      <c r="C11" s="41"/>
      <c r="D11" s="41"/>
      <c r="E11" s="41"/>
      <c r="F11" s="41"/>
      <c r="G11" s="42"/>
      <c r="H11" s="43"/>
      <c r="I11" s="44"/>
      <c r="J11" s="45"/>
      <c r="K11" s="46"/>
      <c r="L11" s="47"/>
      <c r="M11" s="48"/>
      <c r="N11" s="49"/>
      <c r="R11" s="50"/>
    </row>
    <row r="12" spans="2:26" s="22" customFormat="1" ht="15.75" customHeight="1" x14ac:dyDescent="0.2">
      <c r="B12" s="51">
        <v>46023</v>
      </c>
      <c r="C12" s="52">
        <v>54</v>
      </c>
      <c r="D12" s="52">
        <v>2</v>
      </c>
      <c r="E12" s="52">
        <v>3</v>
      </c>
      <c r="F12" s="52">
        <v>1</v>
      </c>
      <c r="G12" s="53">
        <f>SUM(C12:F12)</f>
        <v>60</v>
      </c>
      <c r="H12" s="54">
        <f>(C12*$E$29)+(D12*$E$30)+(E12*$E$31)+(F12*$E$32)</f>
        <v>129</v>
      </c>
      <c r="I12" s="55">
        <f>(C12*$C$29)+(D12*$C$30)+(E12*$C$31)+(F12*$C$32)</f>
        <v>1209</v>
      </c>
      <c r="J12" s="21">
        <v>0</v>
      </c>
      <c r="K12" s="21">
        <v>0</v>
      </c>
      <c r="L12" s="53">
        <v>0</v>
      </c>
      <c r="M12" s="55">
        <f>I12-K12</f>
        <v>1209</v>
      </c>
      <c r="N12" s="56">
        <f>K12/I12</f>
        <v>0</v>
      </c>
      <c r="Q12" s="50"/>
      <c r="R12" s="50"/>
    </row>
    <row r="13" spans="2:26" s="22" customFormat="1" ht="15.75" customHeight="1" x14ac:dyDescent="0.2">
      <c r="B13" s="51">
        <v>46054</v>
      </c>
      <c r="C13" s="52">
        <v>53</v>
      </c>
      <c r="D13" s="52">
        <v>2</v>
      </c>
      <c r="E13" s="52">
        <v>3</v>
      </c>
      <c r="F13" s="52">
        <v>1</v>
      </c>
      <c r="G13" s="53">
        <f t="shared" ref="G13:G23" si="0">SUM(C13:F13)</f>
        <v>59</v>
      </c>
      <c r="H13" s="54">
        <f t="shared" ref="H13:H23" si="1">(C13*$E$29)+(D13*$E$30)+(E13*$E$31)+(F13*$E$32)</f>
        <v>126.85</v>
      </c>
      <c r="I13" s="55">
        <f t="shared" ref="I13:I23" si="2">(C13*$C$29)+(D13*$C$30)+(E13*$C$31)+(F13*$C$32)</f>
        <v>1191</v>
      </c>
      <c r="J13" s="21">
        <v>590.97</v>
      </c>
      <c r="K13" s="21">
        <v>590.97</v>
      </c>
      <c r="L13" s="53">
        <v>2</v>
      </c>
      <c r="M13" s="55">
        <f t="shared" ref="M13:M23" si="3">I13-K13</f>
        <v>600.03</v>
      </c>
      <c r="N13" s="56">
        <f t="shared" ref="N13:N17" si="4">K13/I13</f>
        <v>0.49619647355163732</v>
      </c>
      <c r="Q13" s="57"/>
      <c r="R13" s="50"/>
    </row>
    <row r="14" spans="2:26" s="22" customFormat="1" ht="15.75" customHeight="1" x14ac:dyDescent="0.2">
      <c r="B14" s="51">
        <v>46082</v>
      </c>
      <c r="C14" s="52">
        <v>55</v>
      </c>
      <c r="D14" s="52">
        <v>2</v>
      </c>
      <c r="E14" s="52">
        <v>3</v>
      </c>
      <c r="F14" s="52">
        <v>1</v>
      </c>
      <c r="G14" s="53">
        <f t="shared" si="0"/>
        <v>61</v>
      </c>
      <c r="H14" s="54">
        <f t="shared" si="1"/>
        <v>131.15</v>
      </c>
      <c r="I14" s="55">
        <f t="shared" si="2"/>
        <v>1227</v>
      </c>
      <c r="J14" s="21">
        <v>1622</v>
      </c>
      <c r="K14" s="21">
        <v>1608</v>
      </c>
      <c r="L14" s="53">
        <v>7</v>
      </c>
      <c r="M14" s="55">
        <f t="shared" si="3"/>
        <v>-381</v>
      </c>
      <c r="N14" s="56">
        <f t="shared" si="4"/>
        <v>1.3105134474327629</v>
      </c>
      <c r="Q14" s="57"/>
      <c r="R14" s="50"/>
    </row>
    <row r="15" spans="2:26" s="22" customFormat="1" ht="15.75" customHeight="1" x14ac:dyDescent="0.2">
      <c r="B15" s="51">
        <v>46113</v>
      </c>
      <c r="C15" s="52">
        <v>54</v>
      </c>
      <c r="D15" s="52">
        <v>2</v>
      </c>
      <c r="E15" s="52">
        <v>3</v>
      </c>
      <c r="F15" s="52">
        <v>2</v>
      </c>
      <c r="G15" s="53">
        <f t="shared" si="0"/>
        <v>61</v>
      </c>
      <c r="H15" s="54">
        <f t="shared" si="1"/>
        <v>131.15</v>
      </c>
      <c r="I15" s="55">
        <f t="shared" si="2"/>
        <v>1266</v>
      </c>
      <c r="J15" s="21">
        <v>1922.37</v>
      </c>
      <c r="K15" s="21">
        <v>1058.3699999999999</v>
      </c>
      <c r="L15" s="53">
        <v>5</v>
      </c>
      <c r="M15" s="55">
        <f t="shared" si="3"/>
        <v>207.63000000000011</v>
      </c>
      <c r="N15" s="56">
        <f t="shared" si="4"/>
        <v>0.83599526066350704</v>
      </c>
      <c r="Q15" s="57"/>
      <c r="R15" s="50"/>
    </row>
    <row r="16" spans="2:26" s="22" customFormat="1" ht="15.75" customHeight="1" x14ac:dyDescent="0.2">
      <c r="B16" s="51">
        <v>46143</v>
      </c>
      <c r="C16" s="52">
        <v>51</v>
      </c>
      <c r="D16" s="52">
        <v>2</v>
      </c>
      <c r="E16" s="52">
        <v>3</v>
      </c>
      <c r="F16" s="52">
        <v>2</v>
      </c>
      <c r="G16" s="53">
        <f t="shared" si="0"/>
        <v>58</v>
      </c>
      <c r="H16" s="54">
        <f t="shared" si="1"/>
        <v>124.69999999999999</v>
      </c>
      <c r="I16" s="55">
        <f t="shared" si="2"/>
        <v>1212</v>
      </c>
      <c r="J16" s="21">
        <v>965</v>
      </c>
      <c r="K16" s="21">
        <v>965</v>
      </c>
      <c r="L16" s="53">
        <v>3</v>
      </c>
      <c r="M16" s="55">
        <f t="shared" si="3"/>
        <v>247</v>
      </c>
      <c r="N16" s="56">
        <f t="shared" si="4"/>
        <v>0.79620462046204621</v>
      </c>
      <c r="Q16" s="57"/>
      <c r="R16" s="50"/>
    </row>
    <row r="17" spans="2:18" s="22" customFormat="1" ht="15.75" customHeight="1" x14ac:dyDescent="0.2">
      <c r="B17" s="51">
        <v>46174</v>
      </c>
      <c r="C17" s="52">
        <v>49</v>
      </c>
      <c r="D17" s="52">
        <v>2</v>
      </c>
      <c r="E17" s="52">
        <v>3</v>
      </c>
      <c r="F17" s="52">
        <v>2</v>
      </c>
      <c r="G17" s="53">
        <f t="shared" si="0"/>
        <v>56</v>
      </c>
      <c r="H17" s="54">
        <f t="shared" si="1"/>
        <v>120.39999999999999</v>
      </c>
      <c r="I17" s="55">
        <f t="shared" si="2"/>
        <v>1176</v>
      </c>
      <c r="J17" s="21">
        <v>2098.5</v>
      </c>
      <c r="K17" s="21">
        <v>1233</v>
      </c>
      <c r="L17" s="53">
        <v>5</v>
      </c>
      <c r="M17" s="55">
        <f t="shared" si="3"/>
        <v>-57</v>
      </c>
      <c r="N17" s="56">
        <f t="shared" si="4"/>
        <v>1.0484693877551021</v>
      </c>
      <c r="Q17" s="57"/>
      <c r="R17" s="50"/>
    </row>
    <row r="18" spans="2:18" s="22" customFormat="1" ht="15.75" customHeight="1" x14ac:dyDescent="0.2">
      <c r="B18" s="51">
        <v>46204</v>
      </c>
      <c r="C18" s="52"/>
      <c r="D18" s="52"/>
      <c r="E18" s="52"/>
      <c r="F18" s="52"/>
      <c r="G18" s="53">
        <f t="shared" si="0"/>
        <v>0</v>
      </c>
      <c r="H18" s="54">
        <f t="shared" si="1"/>
        <v>0</v>
      </c>
      <c r="I18" s="55">
        <f t="shared" si="2"/>
        <v>0</v>
      </c>
      <c r="J18" s="21"/>
      <c r="K18" s="21"/>
      <c r="L18" s="53"/>
      <c r="M18" s="55">
        <f t="shared" si="3"/>
        <v>0</v>
      </c>
      <c r="N18" s="56"/>
      <c r="Q18" s="57"/>
      <c r="R18" s="50"/>
    </row>
    <row r="19" spans="2:18" s="22" customFormat="1" ht="15.75" customHeight="1" x14ac:dyDescent="0.2">
      <c r="B19" s="51">
        <v>46235</v>
      </c>
      <c r="C19" s="52"/>
      <c r="D19" s="52"/>
      <c r="E19" s="52"/>
      <c r="F19" s="52"/>
      <c r="G19" s="53">
        <f t="shared" si="0"/>
        <v>0</v>
      </c>
      <c r="H19" s="54">
        <f t="shared" si="1"/>
        <v>0</v>
      </c>
      <c r="I19" s="55">
        <f t="shared" si="2"/>
        <v>0</v>
      </c>
      <c r="J19" s="21"/>
      <c r="K19" s="21"/>
      <c r="L19" s="53"/>
      <c r="M19" s="55">
        <f t="shared" si="3"/>
        <v>0</v>
      </c>
      <c r="N19" s="56"/>
      <c r="Q19" s="57"/>
      <c r="R19" s="50"/>
    </row>
    <row r="20" spans="2:18" s="22" customFormat="1" ht="15.75" customHeight="1" x14ac:dyDescent="0.2">
      <c r="B20" s="51">
        <v>46266</v>
      </c>
      <c r="C20" s="52"/>
      <c r="D20" s="52"/>
      <c r="E20" s="52"/>
      <c r="F20" s="52"/>
      <c r="G20" s="53">
        <f>SUM(C20:F20)</f>
        <v>0</v>
      </c>
      <c r="H20" s="54">
        <f>(C20*$E$29)+(D20*$E$30)+(E20*$E$31)+(F20*$E$32)</f>
        <v>0</v>
      </c>
      <c r="I20" s="55">
        <f>(C20*$C$29)+(D20*$C$30)+(E20*$C$31)+(F20*$C$32)</f>
        <v>0</v>
      </c>
      <c r="J20" s="21"/>
      <c r="K20" s="21"/>
      <c r="L20" s="53"/>
      <c r="M20" s="55">
        <f t="shared" si="3"/>
        <v>0</v>
      </c>
      <c r="N20" s="56"/>
      <c r="Q20" s="57"/>
      <c r="R20" s="50"/>
    </row>
    <row r="21" spans="2:18" s="22" customFormat="1" ht="15.75" customHeight="1" x14ac:dyDescent="0.2">
      <c r="B21" s="51">
        <v>46296</v>
      </c>
      <c r="C21" s="52"/>
      <c r="D21" s="52"/>
      <c r="E21" s="52"/>
      <c r="F21" s="52"/>
      <c r="G21" s="53">
        <f t="shared" si="0"/>
        <v>0</v>
      </c>
      <c r="H21" s="54">
        <f>(C21*$E$29)+(D21*$E$30)+(E21*$E$31)+(F21*$E$32)</f>
        <v>0</v>
      </c>
      <c r="I21" s="55">
        <f>(C21*$C$29)+(D21*$C$30)+(E21*$C$31)+(F21*$C$32)</f>
        <v>0</v>
      </c>
      <c r="J21" s="21"/>
      <c r="K21" s="21"/>
      <c r="L21" s="53"/>
      <c r="M21" s="55">
        <f t="shared" si="3"/>
        <v>0</v>
      </c>
      <c r="N21" s="56"/>
      <c r="Q21" s="57"/>
      <c r="R21" s="50"/>
    </row>
    <row r="22" spans="2:18" s="22" customFormat="1" ht="15.75" customHeight="1" x14ac:dyDescent="0.2">
      <c r="B22" s="51">
        <v>46327</v>
      </c>
      <c r="C22" s="52"/>
      <c r="D22" s="52"/>
      <c r="E22" s="52"/>
      <c r="F22" s="52"/>
      <c r="G22" s="53">
        <f t="shared" si="0"/>
        <v>0</v>
      </c>
      <c r="H22" s="54">
        <f t="shared" si="1"/>
        <v>0</v>
      </c>
      <c r="I22" s="55">
        <f t="shared" si="2"/>
        <v>0</v>
      </c>
      <c r="J22" s="21"/>
      <c r="K22" s="21"/>
      <c r="L22" s="53"/>
      <c r="M22" s="55">
        <f t="shared" si="3"/>
        <v>0</v>
      </c>
      <c r="N22" s="56"/>
      <c r="Q22" s="57"/>
      <c r="R22" s="50"/>
    </row>
    <row r="23" spans="2:18" s="22" customFormat="1" ht="15.75" customHeight="1" x14ac:dyDescent="0.2">
      <c r="B23" s="51">
        <v>46357</v>
      </c>
      <c r="C23" s="52"/>
      <c r="D23" s="52"/>
      <c r="E23" s="52"/>
      <c r="F23" s="52"/>
      <c r="G23" s="53">
        <f t="shared" si="0"/>
        <v>0</v>
      </c>
      <c r="H23" s="54">
        <f t="shared" si="1"/>
        <v>0</v>
      </c>
      <c r="I23" s="55">
        <f t="shared" si="2"/>
        <v>0</v>
      </c>
      <c r="J23" s="21"/>
      <c r="K23" s="21"/>
      <c r="L23" s="53"/>
      <c r="M23" s="55">
        <f t="shared" si="3"/>
        <v>0</v>
      </c>
      <c r="N23" s="56"/>
      <c r="Q23" s="57"/>
      <c r="R23" s="50"/>
    </row>
    <row r="24" spans="2:18" s="22" customFormat="1" ht="15.75" customHeight="1" thickBot="1" x14ac:dyDescent="0.25">
      <c r="B24" s="51"/>
      <c r="C24" s="58"/>
      <c r="D24" s="52"/>
      <c r="E24" s="58"/>
      <c r="F24" s="58"/>
      <c r="G24" s="58"/>
      <c r="H24" s="59"/>
      <c r="I24" s="59"/>
      <c r="J24" s="60"/>
      <c r="K24" s="61"/>
      <c r="L24" s="62"/>
      <c r="M24" s="63"/>
      <c r="N24" s="56"/>
    </row>
    <row r="25" spans="2:18" s="66" customFormat="1" ht="15.75" customHeight="1" thickBot="1" x14ac:dyDescent="0.3">
      <c r="B25" s="64" t="s">
        <v>24</v>
      </c>
      <c r="C25" s="65">
        <f>AVERAGEIF(C12:C23,"&gt;0")</f>
        <v>52.666666666666664</v>
      </c>
      <c r="D25" s="65">
        <f>AVERAGEIF(D12:D23,"&gt;0")</f>
        <v>2</v>
      </c>
      <c r="E25" s="65">
        <f>AVERAGEIF(D12:D23,"&gt;0")</f>
        <v>2</v>
      </c>
      <c r="F25" s="65">
        <f>AVERAGEIF(F12:F23,"&gt;0")</f>
        <v>1.5</v>
      </c>
      <c r="G25" s="65">
        <f>AVERAGEIF(G12:G23,"&gt;0")</f>
        <v>59.166666666666664</v>
      </c>
      <c r="H25" s="67">
        <f>SUM(H11:H23)</f>
        <v>763.24999999999989</v>
      </c>
      <c r="I25" s="67">
        <f>SUM(I11:I23)</f>
        <v>7281</v>
      </c>
      <c r="J25" s="68">
        <f>SUM(J11:J23)</f>
        <v>7198.84</v>
      </c>
      <c r="K25" s="69">
        <f>SUM(K11:K23)</f>
        <v>5455.34</v>
      </c>
      <c r="L25" s="70">
        <f>SUM(L12:L23)</f>
        <v>22</v>
      </c>
      <c r="M25" s="67">
        <f>SUM(M12:M23)</f>
        <v>1825.66</v>
      </c>
      <c r="N25" s="71">
        <f>K25/I25</f>
        <v>0.74925697019640158</v>
      </c>
    </row>
    <row r="26" spans="2:18" s="22" customFormat="1" ht="15.75" customHeight="1" x14ac:dyDescent="0.2">
      <c r="J26" s="72"/>
      <c r="L26" s="73"/>
    </row>
    <row r="27" spans="2:18" s="22" customFormat="1" ht="15.75" customHeight="1" x14ac:dyDescent="0.25">
      <c r="B27" s="117" t="s">
        <v>25</v>
      </c>
      <c r="C27" s="118"/>
      <c r="D27" s="118"/>
      <c r="E27" s="118"/>
      <c r="F27" s="118"/>
      <c r="G27" s="119"/>
      <c r="H27" s="74"/>
      <c r="J27" s="120" t="s">
        <v>26</v>
      </c>
      <c r="K27" s="106"/>
      <c r="L27" s="106"/>
      <c r="M27" s="106"/>
      <c r="N27" s="107"/>
    </row>
    <row r="28" spans="2:18" s="22" customFormat="1" ht="15.75" customHeight="1" x14ac:dyDescent="0.2">
      <c r="B28" s="75"/>
      <c r="C28" s="106" t="s">
        <v>27</v>
      </c>
      <c r="D28" s="107"/>
      <c r="E28" s="108" t="s">
        <v>28</v>
      </c>
      <c r="F28" s="107"/>
      <c r="G28" s="76" t="s">
        <v>16</v>
      </c>
      <c r="H28" s="72"/>
      <c r="J28" s="100" t="s">
        <v>29</v>
      </c>
      <c r="K28" s="101"/>
      <c r="L28" s="101"/>
      <c r="M28" s="102"/>
      <c r="N28" s="77">
        <f>J25/L25</f>
        <v>327.22000000000003</v>
      </c>
    </row>
    <row r="29" spans="2:18" s="22" customFormat="1" ht="15.75" customHeight="1" x14ac:dyDescent="0.2">
      <c r="B29" s="78" t="s">
        <v>30</v>
      </c>
      <c r="C29" s="109">
        <v>18</v>
      </c>
      <c r="D29" s="110"/>
      <c r="E29" s="111">
        <v>2.15</v>
      </c>
      <c r="F29" s="110"/>
      <c r="G29" s="79">
        <f>C29+E29</f>
        <v>20.149999999999999</v>
      </c>
      <c r="H29" s="80"/>
      <c r="J29" s="100" t="s">
        <v>31</v>
      </c>
      <c r="K29" s="101"/>
      <c r="L29" s="101"/>
      <c r="M29" s="102"/>
      <c r="N29" s="77">
        <f>K25/L25</f>
        <v>247.97</v>
      </c>
    </row>
    <row r="30" spans="2:18" s="22" customFormat="1" ht="15.75" customHeight="1" x14ac:dyDescent="0.2">
      <c r="B30" s="81" t="str">
        <f>IF(D10="E+1","EE &amp; One","EE &amp; Spouse")</f>
        <v>EE &amp; Spouse</v>
      </c>
      <c r="C30" s="109">
        <v>36</v>
      </c>
      <c r="D30" s="110"/>
      <c r="E30" s="111">
        <v>2.15</v>
      </c>
      <c r="F30" s="110"/>
      <c r="G30" s="79">
        <f>C30+E30</f>
        <v>38.15</v>
      </c>
      <c r="H30" s="80"/>
      <c r="J30" s="100" t="s">
        <v>32</v>
      </c>
      <c r="K30" s="101"/>
      <c r="L30" s="101"/>
      <c r="M30" s="102"/>
      <c r="N30" s="82">
        <f>((L25/COUNTIF(G12:G23,"&gt;0"))*12)/G25</f>
        <v>0.74366197183098592</v>
      </c>
    </row>
    <row r="31" spans="2:18" s="22" customFormat="1" ht="15.75" customHeight="1" x14ac:dyDescent="0.2">
      <c r="B31" s="78" t="s">
        <v>33</v>
      </c>
      <c r="C31" s="109">
        <v>36</v>
      </c>
      <c r="D31" s="110"/>
      <c r="E31" s="111">
        <v>2.15</v>
      </c>
      <c r="F31" s="110"/>
      <c r="G31" s="79">
        <f>C31+E31</f>
        <v>38.15</v>
      </c>
      <c r="H31" s="80"/>
      <c r="J31" s="100" t="s">
        <v>34</v>
      </c>
      <c r="K31" s="101"/>
      <c r="L31" s="101"/>
      <c r="M31" s="102"/>
      <c r="N31" s="83">
        <f>K25/J25</f>
        <v>0.75780820243261415</v>
      </c>
    </row>
    <row r="32" spans="2:18" s="22" customFormat="1" ht="15.75" customHeight="1" x14ac:dyDescent="0.2">
      <c r="B32" s="78" t="s">
        <v>35</v>
      </c>
      <c r="C32" s="109">
        <v>57</v>
      </c>
      <c r="D32" s="110"/>
      <c r="E32" s="111">
        <v>2.15</v>
      </c>
      <c r="F32" s="110"/>
      <c r="G32" s="79">
        <f>C32+E32</f>
        <v>59.15</v>
      </c>
      <c r="H32" s="80"/>
      <c r="J32" s="100" t="s">
        <v>36</v>
      </c>
      <c r="K32" s="101"/>
      <c r="L32" s="101"/>
      <c r="M32" s="102"/>
      <c r="N32" s="77">
        <f>K25/G25/(COUNTIF(G12:G23,"&gt;0"))</f>
        <v>15.367154929577467</v>
      </c>
    </row>
    <row r="33" spans="2:15" s="22" customFormat="1" ht="15.75" customHeight="1" thickBot="1" x14ac:dyDescent="0.25">
      <c r="C33" s="80"/>
      <c r="D33" s="80"/>
      <c r="E33" s="80"/>
      <c r="F33" s="84"/>
      <c r="G33" s="80"/>
      <c r="H33" s="80"/>
      <c r="J33" s="85"/>
      <c r="K33" s="85"/>
      <c r="L33" s="85"/>
      <c r="M33" s="85"/>
      <c r="N33" s="86"/>
    </row>
    <row r="34" spans="2:15" s="22" customFormat="1" ht="15.75" customHeight="1" thickBot="1" x14ac:dyDescent="0.3">
      <c r="B34" s="146" t="s">
        <v>37</v>
      </c>
      <c r="C34" s="146"/>
      <c r="D34" s="146"/>
      <c r="E34" s="146"/>
      <c r="F34" s="146"/>
      <c r="G34" s="146"/>
      <c r="H34" s="74"/>
      <c r="J34" s="134" t="s">
        <v>38</v>
      </c>
      <c r="K34" s="135"/>
      <c r="L34" s="135"/>
      <c r="M34" s="135"/>
      <c r="N34" s="136"/>
    </row>
    <row r="35" spans="2:15" s="22" customFormat="1" ht="15.75" customHeight="1" x14ac:dyDescent="0.2">
      <c r="B35" s="147" t="s">
        <v>52</v>
      </c>
      <c r="C35" s="148"/>
      <c r="D35" s="148"/>
      <c r="E35" s="148"/>
      <c r="F35" s="148"/>
      <c r="G35" s="149"/>
      <c r="H35" s="87"/>
      <c r="J35" s="137" t="s">
        <v>29</v>
      </c>
      <c r="K35" s="138"/>
      <c r="L35" s="138"/>
      <c r="M35" s="139"/>
      <c r="N35" s="92">
        <v>407.9</v>
      </c>
    </row>
    <row r="36" spans="2:15" s="22" customFormat="1" ht="15.75" customHeight="1" x14ac:dyDescent="0.2">
      <c r="B36" s="103" t="s">
        <v>53</v>
      </c>
      <c r="C36" s="104"/>
      <c r="D36" s="104"/>
      <c r="E36" s="104"/>
      <c r="F36" s="104"/>
      <c r="G36" s="105"/>
      <c r="H36" s="87"/>
      <c r="J36" s="137" t="s">
        <v>31</v>
      </c>
      <c r="K36" s="138"/>
      <c r="L36" s="138"/>
      <c r="M36" s="139"/>
      <c r="N36" s="92">
        <v>366.46</v>
      </c>
    </row>
    <row r="37" spans="2:15" s="22" customFormat="1" ht="15.75" customHeight="1" x14ac:dyDescent="0.2">
      <c r="B37" s="103" t="s">
        <v>56</v>
      </c>
      <c r="C37" s="104"/>
      <c r="D37" s="104"/>
      <c r="E37" s="104"/>
      <c r="F37" s="104"/>
      <c r="G37" s="105"/>
      <c r="H37" s="87"/>
      <c r="J37" s="137" t="s">
        <v>32</v>
      </c>
      <c r="K37" s="138"/>
      <c r="L37" s="138"/>
      <c r="M37" s="139"/>
      <c r="N37" s="93">
        <v>0.5</v>
      </c>
    </row>
    <row r="38" spans="2:15" s="22" customFormat="1" ht="15.75" customHeight="1" x14ac:dyDescent="0.2">
      <c r="B38" s="103" t="s">
        <v>55</v>
      </c>
      <c r="C38" s="104"/>
      <c r="D38" s="104"/>
      <c r="E38" s="104"/>
      <c r="F38" s="104"/>
      <c r="G38" s="105"/>
      <c r="H38" s="87"/>
      <c r="J38" s="137" t="s">
        <v>34</v>
      </c>
      <c r="K38" s="138"/>
      <c r="L38" s="138"/>
      <c r="M38" s="139"/>
      <c r="N38" s="94">
        <v>0.89839999999999998</v>
      </c>
    </row>
    <row r="39" spans="2:15" s="22" customFormat="1" ht="15.75" thickBot="1" x14ac:dyDescent="0.25">
      <c r="B39" s="143" t="s">
        <v>54</v>
      </c>
      <c r="C39" s="144"/>
      <c r="D39" s="144"/>
      <c r="E39" s="144"/>
      <c r="F39" s="144"/>
      <c r="G39" s="145"/>
      <c r="H39" s="87"/>
      <c r="J39" s="137" t="s">
        <v>36</v>
      </c>
      <c r="K39" s="138"/>
      <c r="L39" s="138"/>
      <c r="M39" s="139"/>
      <c r="N39" s="92">
        <v>15.38</v>
      </c>
    </row>
    <row r="40" spans="2:15" s="22" customFormat="1" ht="15.75" x14ac:dyDescent="0.25">
      <c r="J40" s="140" t="s">
        <v>39</v>
      </c>
      <c r="K40" s="141"/>
      <c r="L40" s="141"/>
      <c r="M40" s="142"/>
      <c r="N40" s="92">
        <v>6770.8</v>
      </c>
    </row>
    <row r="41" spans="2:15" s="22" customFormat="1" ht="10.15" customHeight="1" x14ac:dyDescent="0.2">
      <c r="J41" s="72"/>
      <c r="L41" s="73"/>
    </row>
    <row r="42" spans="2:15" s="22" customFormat="1" ht="10.15" customHeight="1" x14ac:dyDescent="0.2">
      <c r="J42" s="72"/>
      <c r="L42" s="73"/>
    </row>
    <row r="43" spans="2:15" s="22" customFormat="1" ht="10.15" customHeight="1" x14ac:dyDescent="0.2">
      <c r="B43" s="125" t="s">
        <v>41</v>
      </c>
      <c r="C43" s="126"/>
      <c r="D43" s="126"/>
      <c r="E43" s="126"/>
      <c r="F43" s="126"/>
      <c r="G43" s="126"/>
      <c r="H43" s="126"/>
      <c r="I43" s="126"/>
      <c r="J43" s="126"/>
      <c r="K43" s="126"/>
      <c r="L43" s="126"/>
      <c r="M43" s="126"/>
      <c r="N43" s="126"/>
      <c r="O43" s="127"/>
    </row>
    <row r="44" spans="2:15" s="22" customFormat="1" ht="10.15" customHeight="1" x14ac:dyDescent="0.2">
      <c r="B44" s="128"/>
      <c r="C44" s="129"/>
      <c r="D44" s="129"/>
      <c r="E44" s="129"/>
      <c r="F44" s="129"/>
      <c r="G44" s="129"/>
      <c r="H44" s="129"/>
      <c r="I44" s="129"/>
      <c r="J44" s="129"/>
      <c r="K44" s="129"/>
      <c r="L44" s="129"/>
      <c r="M44" s="129"/>
      <c r="N44" s="129"/>
      <c r="O44" s="130"/>
    </row>
    <row r="45" spans="2:15" s="22" customFormat="1" ht="10.15" customHeight="1" x14ac:dyDescent="0.2">
      <c r="B45" s="128"/>
      <c r="C45" s="129"/>
      <c r="D45" s="129"/>
      <c r="E45" s="129"/>
      <c r="F45" s="129"/>
      <c r="G45" s="129"/>
      <c r="H45" s="129"/>
      <c r="I45" s="129"/>
      <c r="J45" s="129"/>
      <c r="K45" s="129"/>
      <c r="L45" s="129"/>
      <c r="M45" s="129"/>
      <c r="N45" s="129"/>
      <c r="O45" s="130"/>
    </row>
    <row r="46" spans="2:15" s="22" customFormat="1" ht="10.15" customHeight="1" x14ac:dyDescent="0.2">
      <c r="B46" s="128"/>
      <c r="C46" s="129"/>
      <c r="D46" s="129"/>
      <c r="E46" s="129"/>
      <c r="F46" s="129"/>
      <c r="G46" s="129"/>
      <c r="H46" s="129"/>
      <c r="I46" s="129"/>
      <c r="J46" s="129"/>
      <c r="K46" s="129"/>
      <c r="L46" s="129"/>
      <c r="M46" s="129"/>
      <c r="N46" s="129"/>
      <c r="O46" s="130"/>
    </row>
    <row r="47" spans="2:15" s="22" customFormat="1" ht="10.15" customHeight="1" x14ac:dyDescent="0.2">
      <c r="B47" s="128"/>
      <c r="C47" s="129"/>
      <c r="D47" s="129"/>
      <c r="E47" s="129"/>
      <c r="F47" s="129"/>
      <c r="G47" s="129"/>
      <c r="H47" s="129"/>
      <c r="I47" s="129"/>
      <c r="J47" s="129"/>
      <c r="K47" s="129"/>
      <c r="L47" s="129"/>
      <c r="M47" s="129"/>
      <c r="N47" s="129"/>
      <c r="O47" s="130"/>
    </row>
    <row r="48" spans="2:15" s="22" customFormat="1" ht="10.15" customHeight="1" x14ac:dyDescent="0.2">
      <c r="B48" s="128"/>
      <c r="C48" s="129"/>
      <c r="D48" s="129"/>
      <c r="E48" s="129"/>
      <c r="F48" s="129"/>
      <c r="G48" s="129"/>
      <c r="H48" s="129"/>
      <c r="I48" s="129"/>
      <c r="J48" s="129"/>
      <c r="K48" s="129"/>
      <c r="L48" s="129"/>
      <c r="M48" s="129"/>
      <c r="N48" s="129"/>
      <c r="O48" s="130"/>
    </row>
    <row r="49" spans="2:15" s="22" customFormat="1" ht="10.15" customHeight="1" x14ac:dyDescent="0.2">
      <c r="B49" s="131"/>
      <c r="C49" s="132"/>
      <c r="D49" s="132"/>
      <c r="E49" s="132"/>
      <c r="F49" s="132"/>
      <c r="G49" s="132"/>
      <c r="H49" s="132"/>
      <c r="I49" s="132"/>
      <c r="J49" s="132"/>
      <c r="K49" s="132"/>
      <c r="L49" s="132"/>
      <c r="M49" s="132"/>
      <c r="N49" s="132"/>
      <c r="O49" s="133"/>
    </row>
    <row r="50" spans="2:15" s="22" customFormat="1" ht="10.15" customHeight="1" x14ac:dyDescent="0.2">
      <c r="J50" s="72"/>
      <c r="L50" s="73"/>
    </row>
    <row r="51" spans="2:15" s="22" customFormat="1" ht="10.15" customHeight="1" x14ac:dyDescent="0.2">
      <c r="J51" s="72"/>
      <c r="L51" s="73"/>
    </row>
    <row r="52" spans="2:15" s="22" customFormat="1" ht="10.15" customHeight="1" x14ac:dyDescent="0.2">
      <c r="J52" s="72"/>
      <c r="L52" s="73"/>
    </row>
  </sheetData>
  <mergeCells count="44">
    <mergeCell ref="B27:G27"/>
    <mergeCell ref="J27:N27"/>
    <mergeCell ref="B43:O49"/>
    <mergeCell ref="B1:N1"/>
    <mergeCell ref="B2:N2"/>
    <mergeCell ref="B5:C5"/>
    <mergeCell ref="D5:G5"/>
    <mergeCell ref="K5:L5"/>
    <mergeCell ref="M5:N5"/>
    <mergeCell ref="B6:C6"/>
    <mergeCell ref="M6:N6"/>
    <mergeCell ref="B8:G8"/>
    <mergeCell ref="I8:L8"/>
    <mergeCell ref="M8:N8"/>
    <mergeCell ref="D6:G6"/>
    <mergeCell ref="K6:L6"/>
    <mergeCell ref="C28:D28"/>
    <mergeCell ref="E28:F28"/>
    <mergeCell ref="J28:M28"/>
    <mergeCell ref="C29:D29"/>
    <mergeCell ref="E29:F29"/>
    <mergeCell ref="J29:M29"/>
    <mergeCell ref="C30:D30"/>
    <mergeCell ref="E30:F30"/>
    <mergeCell ref="J30:M30"/>
    <mergeCell ref="C31:D31"/>
    <mergeCell ref="E31:F31"/>
    <mergeCell ref="J31:M31"/>
    <mergeCell ref="J40:M40"/>
    <mergeCell ref="J36:M36"/>
    <mergeCell ref="B37:G37"/>
    <mergeCell ref="J37:M37"/>
    <mergeCell ref="B38:G38"/>
    <mergeCell ref="J32:M32"/>
    <mergeCell ref="B34:G34"/>
    <mergeCell ref="J34:N34"/>
    <mergeCell ref="B39:G39"/>
    <mergeCell ref="J39:M39"/>
    <mergeCell ref="C32:D32"/>
    <mergeCell ref="E32:F32"/>
    <mergeCell ref="B35:G35"/>
    <mergeCell ref="J35:M35"/>
    <mergeCell ref="J38:M38"/>
    <mergeCell ref="B36:G36"/>
  </mergeCells>
  <phoneticPr fontId="0" type="noConversion"/>
  <printOptions horizontalCentered="1"/>
  <pageMargins left="0.7" right="0.7" top="0.75" bottom="0.75" header="0.3" footer="0.3"/>
  <pageSetup scale="6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Dental-Vision</vt:lpstr>
      <vt:lpstr>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2026-02-09T21:01:51Z</cp:lastPrinted>
  <dcterms:created xsi:type="dcterms:W3CDTF">2010-01-16T14:52:12Z</dcterms:created>
  <dcterms:modified xsi:type="dcterms:W3CDTF">2026-07-01T17:58:51Z</dcterms:modified>
</cp:coreProperties>
</file>