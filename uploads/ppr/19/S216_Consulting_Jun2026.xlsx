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F8CD0B26-2195-449D-BA4A-8F5F7D8D1A8D}" xr6:coauthVersionLast="47" xr6:coauthVersionMax="47" xr10:uidLastSave="{00000000-0000-0000-0000-000000000000}"/>
  <bookViews>
    <workbookView xWindow="-105" yWindow="0" windowWidth="26010" windowHeight="20985" xr2:uid="{00000000-000D-0000-FFFF-FFFF00000000}"/>
  </bookViews>
  <sheets>
    <sheet name="plan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20" i="1" l="1"/>
  <c r="I17" i="1"/>
  <c r="M17" i="1" s="1"/>
  <c r="I16" i="1"/>
  <c r="N16" i="1" s="1"/>
  <c r="G15" i="1"/>
  <c r="H22" i="1"/>
  <c r="H23" i="1"/>
  <c r="H21" i="1"/>
  <c r="M16" i="1" l="1"/>
  <c r="N17" i="1"/>
  <c r="D25" i="1"/>
  <c r="E25" i="1"/>
  <c r="G12" i="1"/>
  <c r="H12" i="1"/>
  <c r="I12" i="1"/>
  <c r="G13" i="1"/>
  <c r="H13" i="1"/>
  <c r="I13" i="1"/>
  <c r="G14" i="1"/>
  <c r="H14" i="1"/>
  <c r="I14" i="1"/>
  <c r="H15" i="1"/>
  <c r="I15" i="1"/>
  <c r="G16" i="1"/>
  <c r="H16" i="1"/>
  <c r="G17" i="1"/>
  <c r="H17" i="1"/>
  <c r="G18" i="1"/>
  <c r="H18" i="1"/>
  <c r="I18" i="1"/>
  <c r="G19" i="1"/>
  <c r="H19" i="1"/>
  <c r="I19" i="1"/>
  <c r="G20" i="1"/>
  <c r="H20" i="1"/>
  <c r="I20" i="1"/>
  <c r="M20" i="1" s="1"/>
  <c r="G21" i="1"/>
  <c r="I21" i="1"/>
  <c r="M21" i="1" s="1"/>
  <c r="G22" i="1"/>
  <c r="I22" i="1"/>
  <c r="M22" i="1" s="1"/>
  <c r="G23" i="1"/>
  <c r="I23" i="1"/>
  <c r="C25" i="1"/>
  <c r="F25" i="1"/>
  <c r="J25" i="1"/>
  <c r="K25" i="1"/>
  <c r="L25" i="1"/>
  <c r="G29" i="1"/>
  <c r="G32" i="1"/>
  <c r="N23" i="1" l="1"/>
  <c r="M23" i="1"/>
  <c r="M19" i="1"/>
  <c r="N19" i="1"/>
  <c r="M18" i="1"/>
  <c r="N18" i="1"/>
  <c r="N12" i="1"/>
  <c r="M12" i="1"/>
  <c r="N14" i="1"/>
  <c r="M14" i="1"/>
  <c r="N13" i="1"/>
  <c r="M13" i="1"/>
  <c r="N15" i="1"/>
  <c r="M15" i="1"/>
  <c r="N22" i="1"/>
  <c r="G25" i="1"/>
  <c r="N30" i="1" s="1"/>
  <c r="H25" i="1"/>
  <c r="I25" i="1"/>
  <c r="N25" i="1" s="1"/>
  <c r="N29" i="1"/>
  <c r="N31" i="1"/>
  <c r="N28" i="1"/>
  <c r="N32" i="1" l="1"/>
  <c r="M25" i="1"/>
</calcChain>
</file>

<file path=xl/sharedStrings.xml><?xml version="1.0" encoding="utf-8"?>
<sst xmlns="http://schemas.openxmlformats.org/spreadsheetml/2006/main" count="56" uniqueCount="50">
  <si>
    <t>Plan Year:</t>
  </si>
  <si>
    <t>through</t>
  </si>
  <si>
    <t>Group ID:</t>
  </si>
  <si>
    <t>Plan Name:</t>
  </si>
  <si>
    <t>Coverage:</t>
  </si>
  <si>
    <t>Plan ID:</t>
  </si>
  <si>
    <t>ENROLLMENT</t>
  </si>
  <si>
    <t>ADMIN</t>
  </si>
  <si>
    <t>CLAIMS</t>
  </si>
  <si>
    <t>PROFIT OR LOSS</t>
  </si>
  <si>
    <t>Surplus/</t>
  </si>
  <si>
    <t>Loss</t>
  </si>
  <si>
    <t>Mon, Yr</t>
  </si>
  <si>
    <t>EE</t>
  </si>
  <si>
    <t>EF</t>
  </si>
  <si>
    <t>Total</t>
  </si>
  <si>
    <t>Costs</t>
  </si>
  <si>
    <t>Budgeted</t>
  </si>
  <si>
    <t>Submitted</t>
  </si>
  <si>
    <t>Paid</t>
  </si>
  <si>
    <t>Number</t>
  </si>
  <si>
    <t>Deficit</t>
  </si>
  <si>
    <t>Ratio</t>
  </si>
  <si>
    <t>Averages</t>
  </si>
  <si>
    <t>Plan Information</t>
  </si>
  <si>
    <t>Important Year to Date Data</t>
  </si>
  <si>
    <t>Claims</t>
  </si>
  <si>
    <t>Average Claim Submitted</t>
  </si>
  <si>
    <t xml:space="preserve">EE Only </t>
  </si>
  <si>
    <t>Average Reimbursement</t>
  </si>
  <si>
    <t>Average Number of Claims per Employee per Year</t>
  </si>
  <si>
    <t>Average Reimbursement % of Submitted Charges</t>
  </si>
  <si>
    <t xml:space="preserve">EE &amp; Family </t>
  </si>
  <si>
    <t>Average Claim Paid per Employee per Month</t>
  </si>
  <si>
    <t>Plan Design</t>
  </si>
  <si>
    <t>Assignment of Benefits</t>
  </si>
  <si>
    <t>Prior Year Data</t>
  </si>
  <si>
    <t>Surplus (Deficit)</t>
  </si>
  <si>
    <t>Monthly Performance Report - Budgeted vs Actual Claims Paid</t>
  </si>
  <si>
    <t>Dental</t>
  </si>
  <si>
    <t>Standard</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</si>
  <si>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</si>
  <si>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Consulting Radiologists, LTD.</t>
  </si>
  <si>
    <t>S216</t>
  </si>
  <si>
    <t>S216DEN</t>
  </si>
  <si>
    <t>100% of Preventive &amp; Diagnostic</t>
  </si>
  <si>
    <t>Ortho covered at 50% for Children with a $1,000 Lifetime Maximum</t>
  </si>
  <si>
    <t>Annual Maximum Amount $1,500</t>
  </si>
  <si>
    <t>80% of the next $300; 50% of the remaining</t>
  </si>
  <si>
    <t>Administration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</si>
</sst>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s>
  <fonts count="18" x14ac:knownFonts="1">
    <font>
      <sz val="11"/>
      <color theme="1"/>
      <name val="Calibri"/>
      <family val="2"/>
      <scheme val="minor"/>
    </font>
    <font>
      <sz val="11"/>
      <color indexed="8"/>
      <name val="Calibri"/>
      <family val="2"/>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sz val="11"/>
      <color indexed="8"/>
      <name val="Calibri"/>
      <family val="2"/>
    </font>
    <font>
      <b/>
      <sz val="12"/>
      <name val="Arial"/>
      <family val="2"/>
    </font>
    <font>
      <sz val="12"/>
      <name val="Arial"/>
      <family val="2"/>
    </font>
    <font>
      <u/>
      <sz val="12"/>
      <name val="Arial"/>
      <family val="2"/>
    </font>
    <font>
      <b/>
      <sz val="12"/>
      <color theme="0"/>
      <name val="Arial"/>
      <family val="2"/>
    </font>
    <font>
      <sz val="12"/>
      <color rgb="FFFF0000"/>
      <name val="Arial"/>
      <family val="2"/>
    </font>
    <font>
      <sz val="12"/>
      <color theme="0"/>
      <name val="Arial"/>
      <family val="2"/>
    </font>
  </fonts>
  <fills count="3">
    <fill>
      <patternFill patternType="none"/>
    </fill>
    <fill>
      <patternFill patternType="gray125"/>
    </fill>
    <fill>
      <patternFill patternType="solid">
        <fgColor theme="0"/>
        <bgColor indexed="64"/>
      </patternFill>
    </fill>
  </fills>
  <borders count="3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7">
    <xf numFmtId="0" fontId="0" fillId="0" borderId="0"/>
    <xf numFmtId="43" fontId="11" fillId="0" borderId="0" applyFont="0" applyFill="0" applyBorder="0" applyAlignment="0" applyProtection="0"/>
    <xf numFmtId="43" fontId="1" fillId="0" borderId="0" applyFont="0" applyFill="0" applyBorder="0" applyAlignment="0" applyProtection="0"/>
    <xf numFmtId="44" fontId="11" fillId="0" borderId="0" applyFont="0" applyFill="0" applyBorder="0" applyAlignment="0" applyProtection="0"/>
    <xf numFmtId="44" fontId="1"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cellStyleXfs>
  <cellXfs count="144">
    <xf numFmtId="0" fontId="0" fillId="0" borderId="0" xfId="0"/>
    <xf numFmtId="0" fontId="3" fillId="0" borderId="0" xfId="0" applyFont="1"/>
    <xf numFmtId="0" fontId="2" fillId="0" borderId="0" xfId="0" applyFont="1"/>
    <xf numFmtId="0" fontId="5" fillId="0" borderId="0" xfId="0" applyFont="1" applyAlignment="1">
      <alignment horizontal="right"/>
    </xf>
    <xf numFmtId="0" fontId="4" fillId="0" borderId="0" xfId="0" applyFont="1" applyAlignment="1">
      <alignment horizontal="right"/>
    </xf>
    <xf numFmtId="164" fontId="2" fillId="0" borderId="0" xfId="0" applyNumberFormat="1" applyFont="1" applyAlignment="1">
      <alignment horizontal="center"/>
    </xf>
    <xf numFmtId="0" fontId="3" fillId="0" borderId="0" xfId="0" applyFont="1" applyAlignment="1">
      <alignment horizontal="center" wrapText="1"/>
    </xf>
    <xf numFmtId="0" fontId="6" fillId="0" borderId="0" xfId="0" applyFont="1" applyAlignment="1">
      <alignment horizontal="center"/>
    </xf>
    <xf numFmtId="0" fontId="7" fillId="0" borderId="0" xfId="0" applyFont="1" applyAlignment="1">
      <alignment horizontal="right"/>
    </xf>
    <xf numFmtId="165" fontId="8" fillId="0" borderId="0" xfId="1" applyNumberFormat="1" applyFont="1"/>
    <xf numFmtId="0" fontId="2" fillId="0" borderId="0" xfId="0" applyFont="1" applyAlignment="1">
      <alignment horizontal="right"/>
    </xf>
    <xf numFmtId="0" fontId="9" fillId="0" borderId="0" xfId="0" applyFont="1"/>
    <xf numFmtId="0" fontId="2" fillId="0" borderId="0" xfId="0" applyFont="1" applyAlignment="1">
      <alignment horizontal="center"/>
    </xf>
    <xf numFmtId="0" fontId="4" fillId="0" borderId="0" xfId="0" applyFont="1"/>
    <xf numFmtId="0" fontId="2" fillId="0" borderId="0" xfId="0" applyFont="1" applyAlignment="1">
      <alignment horizontal="left"/>
    </xf>
    <xf numFmtId="164" fontId="4" fillId="0" borderId="0" xfId="0" applyNumberFormat="1" applyFont="1" applyAlignment="1">
      <alignment horizontal="center"/>
    </xf>
    <xf numFmtId="0" fontId="10" fillId="0" borderId="0" xfId="0" applyFont="1"/>
    <xf numFmtId="7" fontId="10" fillId="0" borderId="0" xfId="0" applyNumberFormat="1" applyFont="1"/>
    <xf numFmtId="0" fontId="10" fillId="0" borderId="0" xfId="0" applyFont="1" applyAlignment="1">
      <alignment horizontal="center"/>
    </xf>
    <xf numFmtId="0" fontId="10" fillId="0" borderId="0" xfId="0" applyFont="1" applyAlignment="1">
      <alignment horizontal="center" wrapText="1"/>
    </xf>
    <xf numFmtId="0" fontId="4" fillId="0" borderId="0" xfId="0" applyFont="1" applyAlignment="1">
      <alignment horizontal="center"/>
    </xf>
    <xf numFmtId="2" fontId="12" fillId="0" borderId="1" xfId="0" applyNumberFormat="1" applyFont="1" applyBorder="1" applyAlignment="1">
      <alignment horizontal="center" vertical="center"/>
    </xf>
    <xf numFmtId="0" fontId="13" fillId="0" borderId="0" xfId="0" applyFont="1"/>
    <xf numFmtId="0" fontId="12" fillId="0" borderId="2" xfId="0" applyFont="1" applyBorder="1"/>
    <xf numFmtId="166" fontId="12" fillId="0" borderId="0" xfId="0" applyNumberFormat="1" applyFont="1" applyAlignment="1">
      <alignment horizontal="right"/>
    </xf>
    <xf numFmtId="0" fontId="12" fillId="0" borderId="0" xfId="0" applyFont="1" applyAlignment="1">
      <alignment horizontal="right"/>
    </xf>
    <xf numFmtId="0" fontId="12" fillId="0" borderId="3" xfId="0" applyFont="1" applyBorder="1" applyAlignment="1">
      <alignment horizontal="right"/>
    </xf>
    <xf numFmtId="0" fontId="12" fillId="0" borderId="4" xfId="0" applyFont="1" applyBorder="1" applyAlignment="1">
      <alignment horizontal="center"/>
    </xf>
    <xf numFmtId="0" fontId="12" fillId="0" borderId="5" xfId="0" applyFont="1" applyBorder="1" applyAlignment="1">
      <alignment horizontal="center" wrapText="1"/>
    </xf>
    <xf numFmtId="0" fontId="12" fillId="0" borderId="6" xfId="0" applyFont="1" applyBorder="1" applyAlignment="1">
      <alignment horizontal="center"/>
    </xf>
    <xf numFmtId="0" fontId="12" fillId="0" borderId="5" xfId="0" applyFont="1" applyBorder="1" applyAlignment="1">
      <alignment horizontal="center"/>
    </xf>
    <xf numFmtId="0" fontId="12" fillId="0" borderId="7" xfId="0" applyFont="1" applyBorder="1" applyAlignment="1">
      <alignment horizontal="right"/>
    </xf>
    <xf numFmtId="166" fontId="12" fillId="0" borderId="8" xfId="0" applyNumberFormat="1" applyFont="1" applyBorder="1" applyAlignment="1">
      <alignment horizontal="right"/>
    </xf>
    <xf numFmtId="165" fontId="12" fillId="0" borderId="0" xfId="1" applyNumberFormat="1" applyFont="1" applyAlignment="1">
      <alignment horizontal="right"/>
    </xf>
    <xf numFmtId="166" fontId="12" fillId="0" borderId="9" xfId="0" applyNumberFormat="1" applyFont="1" applyBorder="1" applyAlignment="1">
      <alignment horizontal="center"/>
    </xf>
    <xf numFmtId="0" fontId="12" fillId="0" borderId="8" xfId="0" applyFont="1" applyBorder="1" applyAlignment="1">
      <alignment horizontal="center"/>
    </xf>
    <xf numFmtId="0" fontId="12" fillId="0" borderId="10" xfId="0" applyFont="1" applyBorder="1" applyAlignment="1">
      <alignment horizontal="center" wrapText="1"/>
    </xf>
    <xf numFmtId="0" fontId="12" fillId="0" borderId="7" xfId="0" applyFont="1" applyBorder="1" applyAlignment="1">
      <alignment horizontal="center"/>
    </xf>
    <xf numFmtId="0" fontId="12" fillId="0" borderId="10" xfId="0" applyFont="1" applyBorder="1" applyAlignment="1">
      <alignment horizontal="center"/>
    </xf>
    <xf numFmtId="17" fontId="13" fillId="0" borderId="6" xfId="0" quotePrefix="1" applyNumberFormat="1" applyFont="1" applyBorder="1" applyAlignment="1">
      <alignment horizontal="right"/>
    </xf>
    <xf numFmtId="165" fontId="13" fillId="0" borderId="4" xfId="1" applyNumberFormat="1" applyFont="1" applyBorder="1" applyAlignment="1">
      <alignment horizontal="right"/>
    </xf>
    <xf numFmtId="165" fontId="13" fillId="0" borderId="5" xfId="1" applyNumberFormat="1" applyFont="1" applyBorder="1" applyAlignment="1">
      <alignment horizontal="right"/>
    </xf>
    <xf numFmtId="44" fontId="13" fillId="0" borderId="11" xfId="3" applyFont="1" applyBorder="1" applyAlignment="1">
      <alignment horizontal="right"/>
    </xf>
    <xf numFmtId="44" fontId="13" fillId="0" borderId="6" xfId="3" applyFont="1" applyBorder="1" applyAlignment="1">
      <alignment horizontal="right"/>
    </xf>
    <xf numFmtId="44" fontId="13" fillId="0" borderId="4" xfId="3" applyFont="1" applyBorder="1" applyAlignment="1">
      <alignment horizontal="center"/>
    </xf>
    <xf numFmtId="44" fontId="13" fillId="0" borderId="4" xfId="3" applyFont="1" applyBorder="1"/>
    <xf numFmtId="165" fontId="13" fillId="0" borderId="5" xfId="1" applyNumberFormat="1" applyFont="1" applyBorder="1" applyAlignment="1">
      <alignment horizontal="center" wrapText="1"/>
    </xf>
    <xf numFmtId="44" fontId="13" fillId="0" borderId="6" xfId="3" applyFont="1" applyBorder="1"/>
    <xf numFmtId="10" fontId="13" fillId="0" borderId="5" xfId="5" applyNumberFormat="1" applyFont="1" applyBorder="1"/>
    <xf numFmtId="165" fontId="13" fillId="0" borderId="0" xfId="0" applyNumberFormat="1" applyFont="1"/>
    <xf numFmtId="17" fontId="13" fillId="0" borderId="2" xfId="0" applyNumberFormat="1" applyFont="1" applyBorder="1" applyAlignment="1">
      <alignment horizontal="right"/>
    </xf>
    <xf numFmtId="165" fontId="13" fillId="0" borderId="0" xfId="1" applyNumberFormat="1" applyFont="1" applyAlignment="1">
      <alignment horizontal="right"/>
    </xf>
    <xf numFmtId="165" fontId="13" fillId="0" borderId="12" xfId="1" applyNumberFormat="1" applyFont="1" applyBorder="1" applyAlignment="1">
      <alignment horizontal="right"/>
    </xf>
    <xf numFmtId="44" fontId="13" fillId="0" borderId="3" xfId="3" applyFont="1" applyBorder="1" applyAlignment="1">
      <alignment horizontal="right"/>
    </xf>
    <xf numFmtId="44" fontId="13" fillId="0" borderId="2" xfId="3" applyFont="1" applyBorder="1" applyAlignment="1">
      <alignment horizontal="right"/>
    </xf>
    <xf numFmtId="44" fontId="13" fillId="0" borderId="0" xfId="3" applyFont="1" applyAlignment="1">
      <alignment horizontal="right"/>
    </xf>
    <xf numFmtId="10" fontId="13" fillId="0" borderId="12" xfId="5" applyNumberFormat="1" applyFont="1" applyBorder="1" applyAlignment="1">
      <alignment horizontal="right"/>
    </xf>
    <xf numFmtId="165" fontId="13" fillId="0" borderId="0" xfId="1" applyNumberFormat="1" applyFont="1"/>
    <xf numFmtId="17" fontId="13" fillId="0" borderId="7" xfId="0" applyNumberFormat="1" applyFont="1" applyBorder="1" applyAlignment="1">
      <alignment horizontal="right"/>
    </xf>
    <xf numFmtId="165" fontId="13" fillId="0" borderId="8" xfId="1" applyNumberFormat="1" applyFont="1" applyBorder="1" applyAlignment="1">
      <alignment horizontal="right"/>
    </xf>
    <xf numFmtId="165" fontId="13" fillId="0" borderId="10" xfId="1" applyNumberFormat="1" applyFont="1" applyBorder="1" applyAlignment="1">
      <alignment horizontal="right"/>
    </xf>
    <xf numFmtId="44" fontId="13" fillId="0" borderId="9" xfId="3" applyFont="1" applyBorder="1" applyAlignment="1">
      <alignment horizontal="right"/>
    </xf>
    <xf numFmtId="44" fontId="13" fillId="0" borderId="7" xfId="3" applyFont="1" applyBorder="1" applyAlignment="1">
      <alignment horizontal="right"/>
    </xf>
    <xf numFmtId="44" fontId="13" fillId="0" borderId="8" xfId="3" applyFont="1" applyBorder="1" applyAlignment="1">
      <alignment horizontal="center"/>
    </xf>
    <xf numFmtId="44" fontId="13" fillId="0" borderId="8" xfId="3" applyFont="1" applyBorder="1"/>
    <xf numFmtId="165" fontId="13" fillId="0" borderId="10" xfId="1" applyNumberFormat="1" applyFont="1" applyBorder="1" applyAlignment="1">
      <alignment horizontal="center" wrapText="1"/>
    </xf>
    <xf numFmtId="44" fontId="13" fillId="0" borderId="7" xfId="3" applyFont="1" applyBorder="1"/>
    <xf numFmtId="10" fontId="13" fillId="0" borderId="10" xfId="5" applyNumberFormat="1" applyFont="1" applyBorder="1" applyAlignment="1">
      <alignment horizontal="center"/>
    </xf>
    <xf numFmtId="0" fontId="12" fillId="0" borderId="13" xfId="0" applyFont="1" applyBorder="1" applyAlignment="1">
      <alignment horizontal="right"/>
    </xf>
    <xf numFmtId="165" fontId="12" fillId="0" borderId="14" xfId="1" applyNumberFormat="1" applyFont="1" applyBorder="1" applyAlignment="1">
      <alignment horizontal="right"/>
    </xf>
    <xf numFmtId="44" fontId="12" fillId="0" borderId="13" xfId="3" applyFont="1" applyBorder="1"/>
    <xf numFmtId="44" fontId="12" fillId="0" borderId="14" xfId="3" applyFont="1" applyBorder="1"/>
    <xf numFmtId="44" fontId="12" fillId="0" borderId="14" xfId="3" applyFont="1" applyBorder="1" applyAlignment="1">
      <alignment horizontal="right"/>
    </xf>
    <xf numFmtId="165" fontId="12" fillId="0" borderId="15" xfId="1" applyNumberFormat="1" applyFont="1" applyBorder="1" applyAlignment="1">
      <alignment horizontal="center" wrapText="1"/>
    </xf>
    <xf numFmtId="10" fontId="12" fillId="0" borderId="15" xfId="0" applyNumberFormat="1" applyFont="1" applyBorder="1" applyAlignment="1">
      <alignment horizontal="right"/>
    </xf>
    <xf numFmtId="0" fontId="12" fillId="0" borderId="0" xfId="0" applyFont="1"/>
    <xf numFmtId="0" fontId="13" fillId="0" borderId="0" xfId="0" applyFont="1" applyAlignment="1">
      <alignment horizontal="center"/>
    </xf>
    <xf numFmtId="0" fontId="13" fillId="0" borderId="0" xfId="0" applyFont="1" applyAlignment="1">
      <alignment horizontal="center" wrapText="1"/>
    </xf>
    <xf numFmtId="0" fontId="12" fillId="0" borderId="0" xfId="0" applyFont="1" applyAlignment="1">
      <alignment horizontal="center"/>
    </xf>
    <xf numFmtId="0" fontId="13" fillId="0" borderId="16" xfId="0" applyFont="1" applyBorder="1"/>
    <xf numFmtId="0" fontId="13" fillId="0" borderId="17" xfId="0" applyFont="1" applyBorder="1" applyAlignment="1">
      <alignment horizontal="center"/>
    </xf>
    <xf numFmtId="44" fontId="13" fillId="0" borderId="17" xfId="3" applyFont="1" applyBorder="1"/>
    <xf numFmtId="0" fontId="13" fillId="0" borderId="17" xfId="0" applyFont="1" applyBorder="1" applyAlignment="1">
      <alignment horizontal="right"/>
    </xf>
    <xf numFmtId="167" fontId="13" fillId="0" borderId="17" xfId="0" applyNumberFormat="1" applyFont="1" applyBorder="1" applyAlignment="1">
      <alignment horizontal="center"/>
    </xf>
    <xf numFmtId="167" fontId="13" fillId="0" borderId="0" xfId="0" applyNumberFormat="1" applyFont="1" applyAlignment="1">
      <alignment horizontal="center"/>
    </xf>
    <xf numFmtId="165" fontId="13" fillId="0" borderId="17" xfId="1" applyNumberFormat="1" applyFont="1" applyBorder="1" applyAlignment="1">
      <alignment horizontal="right"/>
    </xf>
    <xf numFmtId="43" fontId="13" fillId="0" borderId="17" xfId="1" applyFont="1" applyBorder="1"/>
    <xf numFmtId="10" fontId="13" fillId="0" borderId="17" xfId="0" applyNumberFormat="1" applyFont="1" applyBorder="1"/>
    <xf numFmtId="167" fontId="13" fillId="0" borderId="0" xfId="0" applyNumberFormat="1" applyFont="1" applyAlignment="1">
      <alignment horizontal="right"/>
    </xf>
    <xf numFmtId="0" fontId="13" fillId="0" borderId="0" xfId="0" applyFont="1" applyAlignment="1">
      <alignment horizontal="left"/>
    </xf>
    <xf numFmtId="8" fontId="13" fillId="0" borderId="0" xfId="0" applyNumberFormat="1" applyFont="1"/>
    <xf numFmtId="3" fontId="13" fillId="0" borderId="0" xfId="0" applyNumberFormat="1" applyFont="1" applyAlignment="1">
      <alignment horizontal="left"/>
    </xf>
    <xf numFmtId="165" fontId="15" fillId="0" borderId="14" xfId="1" applyNumberFormat="1" applyFont="1" applyBorder="1" applyAlignment="1">
      <alignment horizontal="right"/>
    </xf>
    <xf numFmtId="0" fontId="16" fillId="0" borderId="0" xfId="0" applyFont="1" applyAlignment="1">
      <alignment horizontal="center"/>
    </xf>
    <xf numFmtId="0" fontId="16" fillId="0" borderId="0" xfId="0" applyFont="1"/>
    <xf numFmtId="0" fontId="16" fillId="0" borderId="0" xfId="0" applyFont="1" applyAlignment="1">
      <alignment horizontal="center" wrapText="1"/>
    </xf>
    <xf numFmtId="167" fontId="16" fillId="0" borderId="0" xfId="0" applyNumberFormat="1" applyFont="1" applyAlignment="1">
      <alignment horizontal="center"/>
    </xf>
    <xf numFmtId="165" fontId="13" fillId="2" borderId="0" xfId="1" applyNumberFormat="1" applyFont="1" applyFill="1" applyAlignment="1">
      <alignment horizontal="right"/>
    </xf>
    <xf numFmtId="8" fontId="13" fillId="0" borderId="17" xfId="3" applyNumberFormat="1" applyFont="1" applyBorder="1"/>
    <xf numFmtId="10" fontId="17" fillId="0" borderId="12" xfId="5" applyNumberFormat="1" applyFont="1" applyBorder="1" applyAlignment="1">
      <alignment horizontal="right"/>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0" xfId="0" applyFont="1" applyAlignment="1">
      <alignment horizontal="center"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27" xfId="0" applyFont="1" applyBorder="1" applyAlignment="1">
      <alignment horizontal="center" vertical="center" wrapText="1"/>
    </xf>
    <xf numFmtId="0" fontId="12" fillId="0" borderId="16" xfId="0" applyFont="1" applyBorder="1" applyAlignment="1">
      <alignment horizontal="right"/>
    </xf>
    <xf numFmtId="0" fontId="12" fillId="0" borderId="18" xfId="0" applyFont="1" applyBorder="1" applyAlignment="1">
      <alignment horizontal="right"/>
    </xf>
    <xf numFmtId="0" fontId="12" fillId="0" borderId="19" xfId="0" applyFont="1" applyBorder="1" applyAlignment="1">
      <alignment horizontal="right"/>
    </xf>
    <xf numFmtId="0" fontId="12" fillId="0" borderId="16" xfId="0" applyFont="1" applyBorder="1" applyAlignment="1">
      <alignment horizontal="center"/>
    </xf>
    <xf numFmtId="0" fontId="13" fillId="0" borderId="18" xfId="0" applyFont="1" applyBorder="1" applyAlignment="1">
      <alignment horizontal="center"/>
    </xf>
    <xf numFmtId="0" fontId="13" fillId="0" borderId="19" xfId="0" applyFont="1" applyBorder="1" applyAlignment="1">
      <alignment horizontal="center"/>
    </xf>
    <xf numFmtId="0" fontId="13" fillId="0" borderId="16" xfId="0" applyFont="1" applyBorder="1" applyAlignment="1">
      <alignment horizontal="right"/>
    </xf>
    <xf numFmtId="0" fontId="13" fillId="0" borderId="18" xfId="0" applyFont="1" applyBorder="1" applyAlignment="1">
      <alignment horizontal="right"/>
    </xf>
    <xf numFmtId="0" fontId="13" fillId="0" borderId="19" xfId="0" applyFont="1" applyBorder="1" applyAlignment="1">
      <alignment horizontal="right"/>
    </xf>
    <xf numFmtId="3" fontId="13" fillId="0" borderId="2" xfId="0" applyNumberFormat="1" applyFont="1" applyBorder="1" applyAlignment="1">
      <alignment horizontal="left"/>
    </xf>
    <xf numFmtId="3" fontId="13" fillId="0" borderId="0" xfId="0" applyNumberFormat="1" applyFont="1" applyAlignment="1">
      <alignment horizontal="left"/>
    </xf>
    <xf numFmtId="3" fontId="13" fillId="0" borderId="12" xfId="0" applyNumberFormat="1" applyFont="1" applyBorder="1" applyAlignment="1">
      <alignment horizontal="left"/>
    </xf>
    <xf numFmtId="3" fontId="13" fillId="0" borderId="7" xfId="0" applyNumberFormat="1" applyFont="1" applyBorder="1" applyAlignment="1">
      <alignment horizontal="left"/>
    </xf>
    <xf numFmtId="3" fontId="13" fillId="0" borderId="8" xfId="0" applyNumberFormat="1" applyFont="1" applyBorder="1" applyAlignment="1">
      <alignment horizontal="left"/>
    </xf>
    <xf numFmtId="3" fontId="13" fillId="0" borderId="10" xfId="0" applyNumberFormat="1" applyFont="1" applyBorder="1" applyAlignment="1">
      <alignment horizontal="left"/>
    </xf>
    <xf numFmtId="3" fontId="13" fillId="0" borderId="6" xfId="0" applyNumberFormat="1" applyFont="1" applyBorder="1" applyAlignment="1">
      <alignment horizontal="left"/>
    </xf>
    <xf numFmtId="3" fontId="13" fillId="0" borderId="4" xfId="0" applyNumberFormat="1" applyFont="1" applyBorder="1" applyAlignment="1">
      <alignment horizontal="left"/>
    </xf>
    <xf numFmtId="3" fontId="13" fillId="0" borderId="5" xfId="0" applyNumberFormat="1" applyFont="1" applyBorder="1" applyAlignment="1">
      <alignment horizontal="left"/>
    </xf>
    <xf numFmtId="0" fontId="12" fillId="0" borderId="11" xfId="0" applyFont="1" applyBorder="1" applyAlignment="1">
      <alignment horizontal="center"/>
    </xf>
    <xf numFmtId="167" fontId="13" fillId="0" borderId="18" xfId="0" applyNumberFormat="1" applyFont="1" applyBorder="1" applyAlignment="1">
      <alignment horizontal="center"/>
    </xf>
    <xf numFmtId="167" fontId="13" fillId="0" borderId="19" xfId="0" applyNumberFormat="1" applyFont="1" applyBorder="1" applyAlignment="1">
      <alignment horizontal="center"/>
    </xf>
    <xf numFmtId="167" fontId="13" fillId="0" borderId="16" xfId="0" applyNumberFormat="1" applyFont="1" applyBorder="1" applyAlignment="1">
      <alignment horizontal="center"/>
    </xf>
    <xf numFmtId="0" fontId="4" fillId="0" borderId="0" xfId="0" applyFont="1" applyAlignment="1">
      <alignment horizontal="right"/>
    </xf>
    <xf numFmtId="0" fontId="2" fillId="0" borderId="0" xfId="0" applyFont="1" applyAlignment="1">
      <alignment horizontal="left"/>
    </xf>
    <xf numFmtId="2" fontId="12" fillId="0" borderId="13" xfId="0" applyNumberFormat="1" applyFont="1" applyBorder="1" applyAlignment="1">
      <alignment horizontal="center" vertical="center"/>
    </xf>
    <xf numFmtId="2" fontId="12" fillId="0" borderId="14" xfId="0" applyNumberFormat="1" applyFont="1" applyBorder="1" applyAlignment="1">
      <alignment horizontal="center" vertical="center"/>
    </xf>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12" fillId="0" borderId="13" xfId="0" applyFont="1" applyBorder="1" applyAlignment="1">
      <alignment horizontal="center" vertical="center"/>
    </xf>
    <xf numFmtId="0" fontId="12" fillId="0" borderId="28" xfId="0" applyFont="1" applyBorder="1" applyAlignment="1">
      <alignment horizontal="center"/>
    </xf>
    <xf numFmtId="0" fontId="12" fillId="0" borderId="29" xfId="0" applyFont="1" applyBorder="1" applyAlignment="1">
      <alignment horizontal="center"/>
    </xf>
    <xf numFmtId="0" fontId="12" fillId="0" borderId="30" xfId="0" applyFont="1" applyBorder="1" applyAlignment="1">
      <alignment horizontal="center"/>
    </xf>
    <xf numFmtId="0" fontId="13" fillId="0" borderId="16" xfId="0" applyFont="1" applyBorder="1" applyAlignment="1">
      <alignment horizontal="center"/>
    </xf>
    <xf numFmtId="0" fontId="2" fillId="0" borderId="0" xfId="0" applyFont="1" applyAlignment="1">
      <alignment horizontal="center"/>
    </xf>
    <xf numFmtId="0" fontId="4" fillId="0" borderId="0" xfId="0" applyFont="1" applyAlignment="1">
      <alignment horizontal="center"/>
    </xf>
  </cellXfs>
  <cellStyles count="7">
    <cellStyle name="Comma" xfId="1" builtinId="3"/>
    <cellStyle name="Comma 2" xfId="2" xr:uid="{00000000-0005-0000-0000-000001000000}"/>
    <cellStyle name="Currency" xfId="3" builtinId="4"/>
    <cellStyle name="Currency 2" xfId="4" xr:uid="{00000000-0005-0000-0000-000003000000}"/>
    <cellStyle name="Normal" xfId="0" builtinId="0"/>
    <cellStyle name="Percent" xfId="5" builtinId="5"/>
    <cellStyle name="Percent 2" xfId="6"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2</xdr:col>
      <xdr:colOff>492125</xdr:colOff>
      <xdr:row>3</xdr:row>
      <xdr:rowOff>111125</xdr:rowOff>
    </xdr:to>
    <xdr:pic>
      <xdr:nvPicPr>
        <xdr:cNvPr id="3126" name="Picture 1">
          <a:extLst>
            <a:ext uri="{FF2B5EF4-FFF2-40B4-BE49-F238E27FC236}">
              <a16:creationId xmlns:a16="http://schemas.microsoft.com/office/drawing/2014/main" id="{00000000-0008-0000-0000-0000360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2857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52"/>
  <sheetViews>
    <sheetView tabSelected="1" topLeftCell="A3" workbookViewId="0">
      <selection activeCell="K14" sqref="K14"/>
    </sheetView>
  </sheetViews>
  <sheetFormatPr defaultColWidth="9.140625" defaultRowHeight="10.15" customHeight="1" x14ac:dyDescent="0.2"/>
  <cols>
    <col min="1" max="1" width="5" style="16" customWidth="1"/>
    <col min="2" max="2" width="16.42578125" style="16" bestFit="1" customWidth="1"/>
    <col min="3" max="6" width="8.7109375" style="16" customWidth="1"/>
    <col min="7" max="7" width="24.7109375" style="16" customWidth="1"/>
    <col min="8" max="8" width="15.85546875" style="16" customWidth="1"/>
    <col min="9" max="9" width="15.7109375" style="16" customWidth="1"/>
    <col min="10" max="10" width="15.7109375" style="18" customWidth="1"/>
    <col min="11" max="11" width="15.7109375" style="16" customWidth="1"/>
    <col min="12" max="12" width="9.7109375" style="19" customWidth="1"/>
    <col min="13" max="14" width="15.7109375" style="16" customWidth="1"/>
    <col min="15" max="16384" width="9.140625" style="16"/>
  </cols>
  <sheetData>
    <row r="1" spans="2:26" s="1" customFormat="1" ht="20.25" customHeight="1" x14ac:dyDescent="0.25">
      <c r="B1" s="142" t="s">
        <v>42</v>
      </c>
      <c r="C1" s="142"/>
      <c r="D1" s="142"/>
      <c r="E1" s="142"/>
      <c r="F1" s="142"/>
      <c r="G1" s="142"/>
      <c r="H1" s="142"/>
      <c r="I1" s="142"/>
      <c r="J1" s="142"/>
      <c r="K1" s="142"/>
      <c r="L1" s="142"/>
      <c r="M1" s="142"/>
      <c r="N1" s="142"/>
    </row>
    <row r="2" spans="2:26" s="1" customFormat="1" ht="20.25" customHeight="1" x14ac:dyDescent="0.25">
      <c r="B2" s="143" t="s">
        <v>38</v>
      </c>
      <c r="C2" s="143"/>
      <c r="D2" s="143"/>
      <c r="E2" s="143"/>
      <c r="F2" s="143"/>
      <c r="G2" s="143"/>
      <c r="H2" s="143"/>
      <c r="I2" s="143"/>
      <c r="J2" s="143"/>
      <c r="K2" s="143"/>
      <c r="L2" s="143"/>
      <c r="M2" s="143"/>
      <c r="N2" s="143"/>
      <c r="O2" s="2"/>
      <c r="P2" s="2"/>
      <c r="Q2" s="3"/>
      <c r="R2" s="2"/>
      <c r="S2" s="2"/>
      <c r="T2" s="2"/>
      <c r="U2" s="2"/>
      <c r="V2" s="2"/>
      <c r="W2" s="2"/>
      <c r="X2" s="2"/>
      <c r="Y2" s="2"/>
      <c r="Z2" s="2"/>
    </row>
    <row r="3" spans="2:26" s="1" customFormat="1" ht="20.25" customHeight="1" x14ac:dyDescent="0.25">
      <c r="G3" s="4" t="s">
        <v>0</v>
      </c>
      <c r="H3" s="5">
        <v>45931</v>
      </c>
      <c r="I3" s="20" t="s">
        <v>1</v>
      </c>
      <c r="J3" s="5">
        <v>46295</v>
      </c>
      <c r="L3" s="6"/>
      <c r="O3" s="7"/>
      <c r="P3" s="7"/>
      <c r="Q3" s="8"/>
      <c r="R3" s="9"/>
      <c r="S3" s="2"/>
      <c r="T3" s="2"/>
      <c r="U3" s="2"/>
      <c r="V3" s="2"/>
      <c r="W3" s="7"/>
      <c r="X3" s="10"/>
      <c r="Y3" s="11"/>
      <c r="Z3" s="11"/>
    </row>
    <row r="4" spans="2:26" s="1" customFormat="1" ht="20.25" customHeight="1" x14ac:dyDescent="0.25">
      <c r="B4" s="7"/>
      <c r="C4" s="7"/>
      <c r="D4" s="7"/>
      <c r="E4" s="7"/>
      <c r="F4" s="7"/>
      <c r="G4" s="2"/>
      <c r="H4" s="2"/>
      <c r="I4" s="12"/>
      <c r="J4" s="2"/>
      <c r="K4" s="7"/>
      <c r="L4" s="10"/>
      <c r="M4" s="11"/>
      <c r="N4" s="13"/>
      <c r="O4" s="11"/>
      <c r="P4" s="11"/>
      <c r="Q4" s="11"/>
      <c r="R4" s="11"/>
    </row>
    <row r="5" spans="2:26" s="1" customFormat="1" ht="20.25" customHeight="1" x14ac:dyDescent="0.25">
      <c r="B5" s="131" t="s">
        <v>2</v>
      </c>
      <c r="C5" s="131"/>
      <c r="D5" s="132" t="s">
        <v>43</v>
      </c>
      <c r="E5" s="132"/>
      <c r="F5" s="132"/>
      <c r="G5" s="132"/>
      <c r="H5" s="14"/>
      <c r="I5" s="15"/>
      <c r="J5" s="15"/>
      <c r="K5" s="131" t="s">
        <v>3</v>
      </c>
      <c r="L5" s="131"/>
      <c r="M5" s="132" t="s">
        <v>40</v>
      </c>
      <c r="N5" s="132"/>
    </row>
    <row r="6" spans="2:26" s="1" customFormat="1" ht="20.25" customHeight="1" x14ac:dyDescent="0.25">
      <c r="B6" s="131" t="s">
        <v>4</v>
      </c>
      <c r="C6" s="131"/>
      <c r="D6" s="132" t="s">
        <v>39</v>
      </c>
      <c r="E6" s="132"/>
      <c r="F6" s="132"/>
      <c r="G6" s="132"/>
      <c r="H6" s="14"/>
      <c r="I6" s="11"/>
      <c r="J6" s="11"/>
      <c r="K6" s="131" t="s">
        <v>5</v>
      </c>
      <c r="L6" s="131"/>
      <c r="M6" s="132" t="s">
        <v>44</v>
      </c>
      <c r="N6" s="132"/>
    </row>
    <row r="7" spans="2:26" ht="21" customHeight="1" thickBot="1" x14ac:dyDescent="0.25">
      <c r="C7" s="17"/>
      <c r="D7" s="17"/>
      <c r="E7" s="17"/>
    </row>
    <row r="8" spans="2:26" s="22" customFormat="1" ht="15.75" customHeight="1" thickBot="1" x14ac:dyDescent="0.25">
      <c r="B8" s="133" t="s">
        <v>6</v>
      </c>
      <c r="C8" s="134"/>
      <c r="D8" s="134"/>
      <c r="E8" s="134"/>
      <c r="F8" s="134"/>
      <c r="G8" s="134"/>
      <c r="H8" s="21" t="s">
        <v>7</v>
      </c>
      <c r="I8" s="135" t="s">
        <v>8</v>
      </c>
      <c r="J8" s="135"/>
      <c r="K8" s="135"/>
      <c r="L8" s="136"/>
      <c r="M8" s="137" t="s">
        <v>9</v>
      </c>
      <c r="N8" s="136"/>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3"/>
      <c r="E10" s="32"/>
      <c r="F10" s="32" t="s">
        <v>14</v>
      </c>
      <c r="G10" s="32" t="s">
        <v>15</v>
      </c>
      <c r="H10" s="34" t="s">
        <v>16</v>
      </c>
      <c r="I10" s="35" t="s">
        <v>17</v>
      </c>
      <c r="J10" s="35" t="s">
        <v>18</v>
      </c>
      <c r="K10" s="35" t="s">
        <v>19</v>
      </c>
      <c r="L10" s="36" t="s">
        <v>20</v>
      </c>
      <c r="M10" s="37" t="s">
        <v>21</v>
      </c>
      <c r="N10" s="38" t="s">
        <v>22</v>
      </c>
    </row>
    <row r="11" spans="2:26" s="22" customFormat="1" ht="15.75" customHeight="1" x14ac:dyDescent="0.2">
      <c r="B11" s="39"/>
      <c r="C11" s="40"/>
      <c r="D11" s="40"/>
      <c r="E11" s="40"/>
      <c r="F11" s="40"/>
      <c r="G11" s="41"/>
      <c r="H11" s="42"/>
      <c r="I11" s="43"/>
      <c r="J11" s="44"/>
      <c r="K11" s="45"/>
      <c r="L11" s="46"/>
      <c r="M11" s="47"/>
      <c r="N11" s="48"/>
      <c r="R11" s="49"/>
    </row>
    <row r="12" spans="2:26" s="22" customFormat="1" ht="15.75" customHeight="1" x14ac:dyDescent="0.2">
      <c r="B12" s="50">
        <v>45944</v>
      </c>
      <c r="C12" s="51">
        <v>56</v>
      </c>
      <c r="D12" s="51"/>
      <c r="E12" s="51"/>
      <c r="F12" s="51">
        <v>65</v>
      </c>
      <c r="G12" s="52">
        <f>SUM(C12:F12)</f>
        <v>121</v>
      </c>
      <c r="H12" s="53">
        <f>(C12*$E$29)+(D12*$E$30)+(E12*$E$31)+(F12*$E$32)</f>
        <v>508.20000000000005</v>
      </c>
      <c r="I12" s="54">
        <f>(C12*$C$29)+(D12*$C$30)+(E12*$C$31)+(F12*$C$32)</f>
        <v>12801</v>
      </c>
      <c r="J12" s="55">
        <v>0</v>
      </c>
      <c r="K12" s="55">
        <v>0</v>
      </c>
      <c r="L12" s="52">
        <v>0</v>
      </c>
      <c r="M12" s="54">
        <f>I12-K12</f>
        <v>12801</v>
      </c>
      <c r="N12" s="56">
        <f>K12/I12</f>
        <v>0</v>
      </c>
      <c r="Q12" s="49"/>
      <c r="R12" s="49"/>
    </row>
    <row r="13" spans="2:26" s="22" customFormat="1" ht="15.75" customHeight="1" x14ac:dyDescent="0.2">
      <c r="B13" s="50">
        <v>45975</v>
      </c>
      <c r="C13" s="51">
        <v>58</v>
      </c>
      <c r="D13" s="51"/>
      <c r="E13" s="51"/>
      <c r="F13" s="51">
        <v>64</v>
      </c>
      <c r="G13" s="52">
        <f t="shared" ref="G13:G23" si="0">SUM(C13:F13)</f>
        <v>122</v>
      </c>
      <c r="H13" s="53">
        <f t="shared" ref="H13:H20" si="1">(C13*$E$29)+(D13*$E$30)+(E13*$E$31)+(F13*$E$32)</f>
        <v>512.40000000000009</v>
      </c>
      <c r="I13" s="54">
        <f t="shared" ref="I13:I23" si="2">(C13*$C$29)+(D13*$C$30)+(E13*$C$31)+(F13*$C$32)</f>
        <v>12750</v>
      </c>
      <c r="J13" s="55">
        <v>37445.230000000003</v>
      </c>
      <c r="K13" s="55">
        <v>28032.89</v>
      </c>
      <c r="L13" s="52">
        <v>88</v>
      </c>
      <c r="M13" s="54">
        <f t="shared" ref="M13:M23" si="3">I13-K13</f>
        <v>-15282.89</v>
      </c>
      <c r="N13" s="56">
        <f t="shared" ref="N13:N20" si="4">K13/I13</f>
        <v>2.1986580392156863</v>
      </c>
      <c r="Q13" s="57"/>
      <c r="R13" s="49"/>
    </row>
    <row r="14" spans="2:26" s="22" customFormat="1" ht="15.75" customHeight="1" x14ac:dyDescent="0.2">
      <c r="B14" s="50">
        <v>46005</v>
      </c>
      <c r="C14" s="97">
        <v>58</v>
      </c>
      <c r="D14" s="51"/>
      <c r="E14" s="51"/>
      <c r="F14" s="51">
        <v>65</v>
      </c>
      <c r="G14" s="52">
        <f t="shared" si="0"/>
        <v>123</v>
      </c>
      <c r="H14" s="53">
        <f t="shared" si="1"/>
        <v>516.6</v>
      </c>
      <c r="I14" s="54">
        <f t="shared" si="2"/>
        <v>12903</v>
      </c>
      <c r="J14" s="55">
        <v>42944.05</v>
      </c>
      <c r="K14" s="55">
        <v>16839.04</v>
      </c>
      <c r="L14" s="52">
        <v>49</v>
      </c>
      <c r="M14" s="54">
        <f t="shared" si="3"/>
        <v>-3936.0400000000009</v>
      </c>
      <c r="N14" s="56">
        <f t="shared" si="4"/>
        <v>1.3050484383476713</v>
      </c>
      <c r="Q14" s="57"/>
      <c r="R14" s="49"/>
    </row>
    <row r="15" spans="2:26" s="22" customFormat="1" ht="15.75" customHeight="1" x14ac:dyDescent="0.2">
      <c r="B15" s="50">
        <v>46036</v>
      </c>
      <c r="C15" s="51">
        <v>58</v>
      </c>
      <c r="D15" s="51"/>
      <c r="E15" s="51"/>
      <c r="F15" s="51">
        <v>65</v>
      </c>
      <c r="G15" s="52">
        <f t="shared" si="0"/>
        <v>123</v>
      </c>
      <c r="H15" s="53">
        <f t="shared" si="1"/>
        <v>516.6</v>
      </c>
      <c r="I15" s="54">
        <f t="shared" si="2"/>
        <v>12903</v>
      </c>
      <c r="J15" s="55">
        <v>26435.29</v>
      </c>
      <c r="K15" s="55">
        <v>9096.1200000000008</v>
      </c>
      <c r="L15" s="52">
        <v>25</v>
      </c>
      <c r="M15" s="54">
        <f t="shared" si="3"/>
        <v>3806.8799999999992</v>
      </c>
      <c r="N15" s="56">
        <f t="shared" si="4"/>
        <v>0.70496163682864454</v>
      </c>
      <c r="Q15" s="57"/>
      <c r="R15" s="49"/>
    </row>
    <row r="16" spans="2:26" s="22" customFormat="1" ht="15.75" customHeight="1" x14ac:dyDescent="0.2">
      <c r="B16" s="50">
        <v>46067</v>
      </c>
      <c r="C16" s="51">
        <v>59</v>
      </c>
      <c r="D16" s="51"/>
      <c r="E16" s="51"/>
      <c r="F16" s="51">
        <v>64</v>
      </c>
      <c r="G16" s="52">
        <f t="shared" si="0"/>
        <v>123</v>
      </c>
      <c r="H16" s="53">
        <f t="shared" si="1"/>
        <v>516.6</v>
      </c>
      <c r="I16" s="54">
        <f>(C16*$C$29)+(D16*$C$30)+(E16*$C$31)+(F16*$C$32)</f>
        <v>12801</v>
      </c>
      <c r="J16" s="55">
        <v>28312.91</v>
      </c>
      <c r="K16" s="55">
        <v>9342.7000000000007</v>
      </c>
      <c r="L16" s="52">
        <v>65</v>
      </c>
      <c r="M16" s="54">
        <f t="shared" si="3"/>
        <v>3458.2999999999993</v>
      </c>
      <c r="N16" s="56">
        <f t="shared" si="4"/>
        <v>0.72984141863916885</v>
      </c>
      <c r="Q16" s="57"/>
      <c r="R16" s="49"/>
    </row>
    <row r="17" spans="2:18" s="22" customFormat="1" ht="15.75" customHeight="1" x14ac:dyDescent="0.2">
      <c r="B17" s="50">
        <v>46095</v>
      </c>
      <c r="C17" s="51">
        <v>62</v>
      </c>
      <c r="D17" s="51"/>
      <c r="E17" s="51"/>
      <c r="F17" s="51">
        <v>64</v>
      </c>
      <c r="G17" s="52">
        <f t="shared" si="0"/>
        <v>126</v>
      </c>
      <c r="H17" s="53">
        <f t="shared" si="1"/>
        <v>529.20000000000005</v>
      </c>
      <c r="I17" s="54">
        <f>(C17*$C$29)+(D17*$C$30)+(E17*$C$31)+(F17*$C$32)</f>
        <v>12954</v>
      </c>
      <c r="J17" s="55">
        <v>19473.63</v>
      </c>
      <c r="K17" s="55">
        <v>8984.6</v>
      </c>
      <c r="L17" s="52">
        <v>52</v>
      </c>
      <c r="M17" s="54">
        <f t="shared" si="3"/>
        <v>3969.3999999999996</v>
      </c>
      <c r="N17" s="56">
        <f t="shared" si="4"/>
        <v>0.69357727342905673</v>
      </c>
      <c r="Q17" s="57"/>
      <c r="R17" s="49"/>
    </row>
    <row r="18" spans="2:18" s="22" customFormat="1" ht="15.75" customHeight="1" x14ac:dyDescent="0.2">
      <c r="B18" s="50">
        <v>46126</v>
      </c>
      <c r="C18" s="51">
        <v>62</v>
      </c>
      <c r="D18" s="51"/>
      <c r="E18" s="51"/>
      <c r="F18" s="51">
        <v>63</v>
      </c>
      <c r="G18" s="52">
        <f t="shared" si="0"/>
        <v>125</v>
      </c>
      <c r="H18" s="53">
        <f t="shared" si="1"/>
        <v>525</v>
      </c>
      <c r="I18" s="54">
        <f t="shared" si="2"/>
        <v>12801</v>
      </c>
      <c r="J18" s="55">
        <v>42008.68</v>
      </c>
      <c r="K18" s="55">
        <v>18873.8</v>
      </c>
      <c r="L18" s="52">
        <v>65</v>
      </c>
      <c r="M18" s="54">
        <f t="shared" si="3"/>
        <v>-6072.7999999999993</v>
      </c>
      <c r="N18" s="56">
        <f t="shared" si="4"/>
        <v>1.4744004374658228</v>
      </c>
      <c r="Q18" s="57"/>
      <c r="R18" s="49"/>
    </row>
    <row r="19" spans="2:18" s="22" customFormat="1" ht="15.75" customHeight="1" x14ac:dyDescent="0.2">
      <c r="B19" s="50">
        <v>46156</v>
      </c>
      <c r="C19" s="51">
        <v>63</v>
      </c>
      <c r="D19" s="51"/>
      <c r="E19" s="51"/>
      <c r="F19" s="51">
        <v>61</v>
      </c>
      <c r="G19" s="52">
        <f t="shared" si="0"/>
        <v>124</v>
      </c>
      <c r="H19" s="53">
        <f t="shared" si="1"/>
        <v>520.79999999999995</v>
      </c>
      <c r="I19" s="54">
        <f t="shared" si="2"/>
        <v>12546</v>
      </c>
      <c r="J19" s="55">
        <v>35892.49</v>
      </c>
      <c r="K19" s="55">
        <v>15357.57</v>
      </c>
      <c r="L19" s="52">
        <v>61</v>
      </c>
      <c r="M19" s="54">
        <f t="shared" si="3"/>
        <v>-2811.5699999999997</v>
      </c>
      <c r="N19" s="56">
        <f t="shared" si="4"/>
        <v>1.2241009086561454</v>
      </c>
      <c r="Q19" s="57"/>
      <c r="R19" s="49"/>
    </row>
    <row r="20" spans="2:18" s="22" customFormat="1" ht="15.75" customHeight="1" x14ac:dyDescent="0.2">
      <c r="B20" s="50">
        <v>46187</v>
      </c>
      <c r="C20" s="51">
        <v>64</v>
      </c>
      <c r="D20" s="51"/>
      <c r="E20" s="51"/>
      <c r="F20" s="51">
        <v>60</v>
      </c>
      <c r="G20" s="52">
        <f t="shared" si="0"/>
        <v>124</v>
      </c>
      <c r="H20" s="53">
        <f t="shared" si="1"/>
        <v>520.79999999999995</v>
      </c>
      <c r="I20" s="54">
        <f t="shared" si="2"/>
        <v>12444</v>
      </c>
      <c r="J20" s="55">
        <v>15792.34</v>
      </c>
      <c r="K20" s="55">
        <v>6932.45</v>
      </c>
      <c r="L20" s="52">
        <v>37</v>
      </c>
      <c r="M20" s="54">
        <f t="shared" si="3"/>
        <v>5511.55</v>
      </c>
      <c r="N20" s="56">
        <f t="shared" si="4"/>
        <v>0.55709177113468333</v>
      </c>
      <c r="Q20" s="57"/>
      <c r="R20" s="49"/>
    </row>
    <row r="21" spans="2:18" s="22" customFormat="1" ht="15.75" customHeight="1" x14ac:dyDescent="0.2">
      <c r="B21" s="50">
        <v>46217</v>
      </c>
      <c r="C21" s="51"/>
      <c r="D21" s="51"/>
      <c r="E21" s="51"/>
      <c r="F21" s="51"/>
      <c r="G21" s="52">
        <f t="shared" si="0"/>
        <v>0</v>
      </c>
      <c r="H21" s="53">
        <f>(C21*(($E$29)-0.06))+(D21*(($E$30)-0.06))+(E21*(($E$31)-0.06))+(F21*(($E$32)-0.06))</f>
        <v>0</v>
      </c>
      <c r="I21" s="54">
        <f t="shared" si="2"/>
        <v>0</v>
      </c>
      <c r="J21" s="55"/>
      <c r="K21" s="55"/>
      <c r="L21" s="52"/>
      <c r="M21" s="54">
        <f t="shared" si="3"/>
        <v>0</v>
      </c>
      <c r="N21" s="56"/>
      <c r="Q21" s="57"/>
      <c r="R21" s="49"/>
    </row>
    <row r="22" spans="2:18" s="22" customFormat="1" ht="15.75" customHeight="1" x14ac:dyDescent="0.2">
      <c r="B22" s="50">
        <v>46248</v>
      </c>
      <c r="C22" s="51"/>
      <c r="D22" s="51"/>
      <c r="E22" s="51"/>
      <c r="F22" s="51"/>
      <c r="G22" s="52">
        <f t="shared" si="0"/>
        <v>0</v>
      </c>
      <c r="H22" s="53">
        <f t="shared" ref="H22:H23" si="5">(C22*(($E$29)-0.06))+(D22*(($E$30)-0.06))+(E22*(($E$31)-0.06))+(F22*(($E$32)-0.06))</f>
        <v>0</v>
      </c>
      <c r="I22" s="54">
        <f t="shared" si="2"/>
        <v>0</v>
      </c>
      <c r="J22" s="55"/>
      <c r="K22" s="55"/>
      <c r="L22" s="52"/>
      <c r="M22" s="54">
        <f t="shared" si="3"/>
        <v>0</v>
      </c>
      <c r="N22" s="99" t="e">
        <f t="shared" ref="N22:N23" si="6">K22/(H22+I22)</f>
        <v>#DIV/0!</v>
      </c>
      <c r="Q22" s="57"/>
      <c r="R22" s="49"/>
    </row>
    <row r="23" spans="2:18" s="22" customFormat="1" ht="15.75" customHeight="1" x14ac:dyDescent="0.2">
      <c r="B23" s="50">
        <v>46279</v>
      </c>
      <c r="C23" s="51"/>
      <c r="D23" s="51"/>
      <c r="E23" s="51"/>
      <c r="F23" s="51"/>
      <c r="G23" s="52">
        <f t="shared" si="0"/>
        <v>0</v>
      </c>
      <c r="H23" s="53">
        <f t="shared" si="5"/>
        <v>0</v>
      </c>
      <c r="I23" s="54">
        <f t="shared" si="2"/>
        <v>0</v>
      </c>
      <c r="J23" s="55"/>
      <c r="K23" s="55"/>
      <c r="L23" s="52"/>
      <c r="M23" s="54">
        <f t="shared" si="3"/>
        <v>0</v>
      </c>
      <c r="N23" s="99" t="e">
        <f t="shared" si="6"/>
        <v>#DIV/0!</v>
      </c>
      <c r="Q23" s="57"/>
      <c r="R23" s="49"/>
    </row>
    <row r="24" spans="2:18" s="22" customFormat="1" ht="15.75" customHeight="1" thickBot="1" x14ac:dyDescent="0.25">
      <c r="B24" s="58"/>
      <c r="C24" s="59"/>
      <c r="D24" s="59"/>
      <c r="E24" s="59"/>
      <c r="F24" s="59"/>
      <c r="G24" s="60"/>
      <c r="H24" s="61"/>
      <c r="I24" s="62"/>
      <c r="J24" s="63"/>
      <c r="K24" s="64"/>
      <c r="L24" s="65"/>
      <c r="M24" s="66"/>
      <c r="N24" s="67"/>
    </row>
    <row r="25" spans="2:18" s="75" customFormat="1" ht="15.75" customHeight="1" thickBot="1" x14ac:dyDescent="0.3">
      <c r="B25" s="68" t="s">
        <v>23</v>
      </c>
      <c r="C25" s="69">
        <f>AVERAGEIF(C12:C23,"&gt;0")</f>
        <v>60</v>
      </c>
      <c r="D25" s="92" t="e">
        <f>AVERAGEIF(D12:D23,"&gt;0")</f>
        <v>#DIV/0!</v>
      </c>
      <c r="E25" s="92" t="e">
        <f>AVERAGEIF(E12:E23,"&gt;0")</f>
        <v>#DIV/0!</v>
      </c>
      <c r="F25" s="69">
        <f>AVERAGEIF(F12:F23,"&gt;0")</f>
        <v>63.444444444444443</v>
      </c>
      <c r="G25" s="69">
        <f>AVERAGEIF(G12:G23,"&gt;0")</f>
        <v>123.44444444444444</v>
      </c>
      <c r="H25" s="70">
        <f>SUM(H11:H23)</f>
        <v>4666.2000000000007</v>
      </c>
      <c r="I25" s="70">
        <f>SUM(I11:I23)</f>
        <v>114903</v>
      </c>
      <c r="J25" s="71">
        <f>SUM(J11:J23)</f>
        <v>248304.62</v>
      </c>
      <c r="K25" s="72">
        <f>SUM(K11:K23)</f>
        <v>113459.17</v>
      </c>
      <c r="L25" s="73">
        <f>SUM(L12:L23)</f>
        <v>442</v>
      </c>
      <c r="M25" s="70">
        <f>SUM(M12:M23)</f>
        <v>1443.829999999999</v>
      </c>
      <c r="N25" s="74">
        <f>K25/I25</f>
        <v>0.98743435767560461</v>
      </c>
    </row>
    <row r="26" spans="2:18" s="22" customFormat="1" ht="15.75" customHeight="1" x14ac:dyDescent="0.2">
      <c r="J26" s="76"/>
      <c r="L26" s="77"/>
    </row>
    <row r="27" spans="2:18" s="22" customFormat="1" ht="15.75" customHeight="1" x14ac:dyDescent="0.25">
      <c r="B27" s="138" t="s">
        <v>24</v>
      </c>
      <c r="C27" s="139"/>
      <c r="D27" s="139"/>
      <c r="E27" s="139"/>
      <c r="F27" s="139"/>
      <c r="G27" s="140"/>
      <c r="H27" s="78"/>
      <c r="J27" s="112" t="s">
        <v>25</v>
      </c>
      <c r="K27" s="113"/>
      <c r="L27" s="113"/>
      <c r="M27" s="113"/>
      <c r="N27" s="114"/>
    </row>
    <row r="28" spans="2:18" s="22" customFormat="1" ht="15.75" customHeight="1" x14ac:dyDescent="0.2">
      <c r="B28" s="79"/>
      <c r="C28" s="113" t="s">
        <v>26</v>
      </c>
      <c r="D28" s="114"/>
      <c r="E28" s="141" t="s">
        <v>49</v>
      </c>
      <c r="F28" s="114"/>
      <c r="G28" s="80" t="s">
        <v>15</v>
      </c>
      <c r="H28" s="76"/>
      <c r="J28" s="115" t="s">
        <v>27</v>
      </c>
      <c r="K28" s="116"/>
      <c r="L28" s="116"/>
      <c r="M28" s="117"/>
      <c r="N28" s="81">
        <f>J25/L25</f>
        <v>561.77515837104067</v>
      </c>
    </row>
    <row r="29" spans="2:18" s="22" customFormat="1" ht="15.75" customHeight="1" x14ac:dyDescent="0.2">
      <c r="B29" s="82" t="s">
        <v>28</v>
      </c>
      <c r="C29" s="128">
        <v>51</v>
      </c>
      <c r="D29" s="129"/>
      <c r="E29" s="130">
        <v>4.2</v>
      </c>
      <c r="F29" s="129"/>
      <c r="G29" s="83">
        <f>C29+E29</f>
        <v>55.2</v>
      </c>
      <c r="H29" s="84"/>
      <c r="J29" s="115" t="s">
        <v>29</v>
      </c>
      <c r="K29" s="116"/>
      <c r="L29" s="116"/>
      <c r="M29" s="117"/>
      <c r="N29" s="81">
        <f>K25/L25</f>
        <v>256.69495475113121</v>
      </c>
    </row>
    <row r="30" spans="2:18" s="22" customFormat="1" ht="15.75" customHeight="1" x14ac:dyDescent="0.2">
      <c r="B30" s="85"/>
      <c r="C30" s="128"/>
      <c r="D30" s="129"/>
      <c r="E30" s="130"/>
      <c r="F30" s="129"/>
      <c r="G30" s="83"/>
      <c r="H30" s="84"/>
      <c r="J30" s="115" t="s">
        <v>30</v>
      </c>
      <c r="K30" s="116"/>
      <c r="L30" s="116"/>
      <c r="M30" s="117"/>
      <c r="N30" s="86">
        <f>((L25/COUNTIF(G12:G23,"&gt;0"))*12)/G25</f>
        <v>4.7740774077407746</v>
      </c>
    </row>
    <row r="31" spans="2:18" s="22" customFormat="1" ht="15.75" customHeight="1" x14ac:dyDescent="0.2">
      <c r="B31" s="82"/>
      <c r="C31" s="128"/>
      <c r="D31" s="129"/>
      <c r="E31" s="130"/>
      <c r="F31" s="129"/>
      <c r="G31" s="83"/>
      <c r="H31" s="84"/>
      <c r="J31" s="115" t="s">
        <v>31</v>
      </c>
      <c r="K31" s="116"/>
      <c r="L31" s="116"/>
      <c r="M31" s="117"/>
      <c r="N31" s="87">
        <f>K25/J25</f>
        <v>0.45693539653027804</v>
      </c>
    </row>
    <row r="32" spans="2:18" s="22" customFormat="1" ht="15.75" customHeight="1" x14ac:dyDescent="0.2">
      <c r="B32" s="82" t="s">
        <v>32</v>
      </c>
      <c r="C32" s="128">
        <v>153</v>
      </c>
      <c r="D32" s="129"/>
      <c r="E32" s="130">
        <v>4.2</v>
      </c>
      <c r="F32" s="129"/>
      <c r="G32" s="83">
        <f>C32+E32</f>
        <v>157.19999999999999</v>
      </c>
      <c r="H32" s="84"/>
      <c r="J32" s="115" t="s">
        <v>33</v>
      </c>
      <c r="K32" s="116"/>
      <c r="L32" s="116"/>
      <c r="M32" s="117"/>
      <c r="N32" s="81">
        <f>K25/G25/(COUNTIF(G12:G23,"&gt;0"))</f>
        <v>102.12346534653466</v>
      </c>
    </row>
    <row r="33" spans="2:14" s="22" customFormat="1" ht="15.75" customHeight="1" x14ac:dyDescent="0.2">
      <c r="C33" s="84"/>
      <c r="D33" s="84"/>
      <c r="E33" s="96"/>
      <c r="F33" s="88"/>
      <c r="G33" s="84"/>
      <c r="H33" s="84"/>
      <c r="J33" s="89"/>
      <c r="K33" s="89"/>
      <c r="L33" s="89"/>
      <c r="M33" s="89"/>
      <c r="N33" s="90"/>
    </row>
    <row r="34" spans="2:14" s="22" customFormat="1" ht="15.75" customHeight="1" thickBot="1" x14ac:dyDescent="0.25">
      <c r="J34" s="76"/>
      <c r="L34" s="77"/>
    </row>
    <row r="35" spans="2:14" s="22" customFormat="1" ht="15.75" customHeight="1" thickBot="1" x14ac:dyDescent="0.3">
      <c r="B35" s="127" t="s">
        <v>34</v>
      </c>
      <c r="C35" s="127"/>
      <c r="D35" s="127"/>
      <c r="E35" s="127"/>
      <c r="F35" s="127"/>
      <c r="G35" s="127"/>
      <c r="H35" s="78"/>
      <c r="J35" s="112" t="s">
        <v>36</v>
      </c>
      <c r="K35" s="113"/>
      <c r="L35" s="113"/>
      <c r="M35" s="113"/>
      <c r="N35" s="114"/>
    </row>
    <row r="36" spans="2:14" s="22" customFormat="1" ht="15.75" customHeight="1" x14ac:dyDescent="0.2">
      <c r="B36" s="124" t="s">
        <v>45</v>
      </c>
      <c r="C36" s="125"/>
      <c r="D36" s="125"/>
      <c r="E36" s="125"/>
      <c r="F36" s="125"/>
      <c r="G36" s="126"/>
      <c r="H36" s="91"/>
      <c r="J36" s="115" t="s">
        <v>27</v>
      </c>
      <c r="K36" s="116"/>
      <c r="L36" s="116"/>
      <c r="M36" s="117"/>
      <c r="N36" s="81">
        <v>437.73</v>
      </c>
    </row>
    <row r="37" spans="2:14" s="22" customFormat="1" ht="15.75" customHeight="1" x14ac:dyDescent="0.2">
      <c r="B37" s="118" t="s">
        <v>48</v>
      </c>
      <c r="C37" s="119"/>
      <c r="D37" s="119"/>
      <c r="E37" s="119"/>
      <c r="F37" s="119"/>
      <c r="G37" s="120"/>
      <c r="H37" s="91"/>
      <c r="J37" s="115" t="s">
        <v>29</v>
      </c>
      <c r="K37" s="116"/>
      <c r="L37" s="116"/>
      <c r="M37" s="117"/>
      <c r="N37" s="81">
        <v>307.72000000000003</v>
      </c>
    </row>
    <row r="38" spans="2:14" s="22" customFormat="1" ht="15.75" customHeight="1" x14ac:dyDescent="0.2">
      <c r="B38" s="118" t="s">
        <v>46</v>
      </c>
      <c r="C38" s="119"/>
      <c r="D38" s="119"/>
      <c r="E38" s="119"/>
      <c r="F38" s="119"/>
      <c r="G38" s="120"/>
      <c r="H38" s="91"/>
      <c r="J38" s="115" t="s">
        <v>30</v>
      </c>
      <c r="K38" s="116"/>
      <c r="L38" s="116"/>
      <c r="M38" s="117"/>
      <c r="N38" s="86">
        <v>4.22</v>
      </c>
    </row>
    <row r="39" spans="2:14" s="22" customFormat="1" ht="15.75" customHeight="1" x14ac:dyDescent="0.2">
      <c r="B39" s="118" t="s">
        <v>47</v>
      </c>
      <c r="C39" s="119"/>
      <c r="D39" s="119"/>
      <c r="E39" s="119"/>
      <c r="F39" s="119"/>
      <c r="G39" s="120"/>
      <c r="H39" s="91"/>
      <c r="J39" s="115" t="s">
        <v>31</v>
      </c>
      <c r="K39" s="116"/>
      <c r="L39" s="116"/>
      <c r="M39" s="117"/>
      <c r="N39" s="87">
        <v>0.70299999999999996</v>
      </c>
    </row>
    <row r="40" spans="2:14" s="22" customFormat="1" ht="15.75" thickBot="1" x14ac:dyDescent="0.25">
      <c r="B40" s="121" t="s">
        <v>35</v>
      </c>
      <c r="C40" s="122"/>
      <c r="D40" s="122"/>
      <c r="E40" s="122"/>
      <c r="F40" s="122"/>
      <c r="G40" s="123"/>
      <c r="H40" s="91"/>
      <c r="J40" s="115" t="s">
        <v>33</v>
      </c>
      <c r="K40" s="116"/>
      <c r="L40" s="116"/>
      <c r="M40" s="117"/>
      <c r="N40" s="81">
        <v>108.31</v>
      </c>
    </row>
    <row r="41" spans="2:14" s="22" customFormat="1" ht="15.75" x14ac:dyDescent="0.25">
      <c r="J41" s="109" t="s">
        <v>37</v>
      </c>
      <c r="K41" s="110"/>
      <c r="L41" s="110"/>
      <c r="M41" s="111"/>
      <c r="N41" s="98">
        <v>2656.34</v>
      </c>
    </row>
    <row r="42" spans="2:14" s="22" customFormat="1" ht="10.15" customHeight="1" x14ac:dyDescent="0.2">
      <c r="J42" s="93"/>
      <c r="K42" s="94"/>
      <c r="L42" s="95"/>
      <c r="M42" s="94"/>
      <c r="N42" s="94"/>
    </row>
    <row r="43" spans="2:14" s="22" customFormat="1" ht="10.15" customHeight="1" x14ac:dyDescent="0.2">
      <c r="B43" s="100" t="s">
        <v>41</v>
      </c>
      <c r="C43" s="101"/>
      <c r="D43" s="101"/>
      <c r="E43" s="101"/>
      <c r="F43" s="101"/>
      <c r="G43" s="101"/>
      <c r="H43" s="101"/>
      <c r="I43" s="101"/>
      <c r="J43" s="101"/>
      <c r="K43" s="101"/>
      <c r="L43" s="101"/>
      <c r="M43" s="101"/>
      <c r="N43" s="102"/>
    </row>
    <row r="44" spans="2:14" s="22" customFormat="1" ht="10.15" customHeight="1" x14ac:dyDescent="0.2">
      <c r="B44" s="103"/>
      <c r="C44" s="104"/>
      <c r="D44" s="104"/>
      <c r="E44" s="104"/>
      <c r="F44" s="104"/>
      <c r="G44" s="104"/>
      <c r="H44" s="104"/>
      <c r="I44" s="104"/>
      <c r="J44" s="104"/>
      <c r="K44" s="104"/>
      <c r="L44" s="104"/>
      <c r="M44" s="104"/>
      <c r="N44" s="105"/>
    </row>
    <row r="45" spans="2:14" s="22" customFormat="1" ht="10.15" customHeight="1" x14ac:dyDescent="0.2">
      <c r="B45" s="103"/>
      <c r="C45" s="104"/>
      <c r="D45" s="104"/>
      <c r="E45" s="104"/>
      <c r="F45" s="104"/>
      <c r="G45" s="104"/>
      <c r="H45" s="104"/>
      <c r="I45" s="104"/>
      <c r="J45" s="104"/>
      <c r="K45" s="104"/>
      <c r="L45" s="104"/>
      <c r="M45" s="104"/>
      <c r="N45" s="105"/>
    </row>
    <row r="46" spans="2:14" s="22" customFormat="1" ht="10.15" customHeight="1" x14ac:dyDescent="0.2">
      <c r="B46" s="103"/>
      <c r="C46" s="104"/>
      <c r="D46" s="104"/>
      <c r="E46" s="104"/>
      <c r="F46" s="104"/>
      <c r="G46" s="104"/>
      <c r="H46" s="104"/>
      <c r="I46" s="104"/>
      <c r="J46" s="104"/>
      <c r="K46" s="104"/>
      <c r="L46" s="104"/>
      <c r="M46" s="104"/>
      <c r="N46" s="105"/>
    </row>
    <row r="47" spans="2:14" s="22" customFormat="1" ht="10.15" customHeight="1" x14ac:dyDescent="0.2">
      <c r="B47" s="103"/>
      <c r="C47" s="104"/>
      <c r="D47" s="104"/>
      <c r="E47" s="104"/>
      <c r="F47" s="104"/>
      <c r="G47" s="104"/>
      <c r="H47" s="104"/>
      <c r="I47" s="104"/>
      <c r="J47" s="104"/>
      <c r="K47" s="104"/>
      <c r="L47" s="104"/>
      <c r="M47" s="104"/>
      <c r="N47" s="105"/>
    </row>
    <row r="48" spans="2:14" s="22" customFormat="1" ht="10.15" customHeight="1" x14ac:dyDescent="0.2">
      <c r="B48" s="103"/>
      <c r="C48" s="104"/>
      <c r="D48" s="104"/>
      <c r="E48" s="104"/>
      <c r="F48" s="104"/>
      <c r="G48" s="104"/>
      <c r="H48" s="104"/>
      <c r="I48" s="104"/>
      <c r="J48" s="104"/>
      <c r="K48" s="104"/>
      <c r="L48" s="104"/>
      <c r="M48" s="104"/>
      <c r="N48" s="105"/>
    </row>
    <row r="49" spans="2:14" s="22" customFormat="1" ht="10.15" customHeight="1" x14ac:dyDescent="0.2">
      <c r="B49" s="106"/>
      <c r="C49" s="107"/>
      <c r="D49" s="107"/>
      <c r="E49" s="107"/>
      <c r="F49" s="107"/>
      <c r="G49" s="107"/>
      <c r="H49" s="107"/>
      <c r="I49" s="107"/>
      <c r="J49" s="107"/>
      <c r="K49" s="107"/>
      <c r="L49" s="107"/>
      <c r="M49" s="107"/>
      <c r="N49" s="108"/>
    </row>
    <row r="50" spans="2:14" s="22" customFormat="1" ht="10.15" customHeight="1" x14ac:dyDescent="0.2">
      <c r="J50" s="76"/>
      <c r="L50" s="77"/>
    </row>
    <row r="51" spans="2:14" s="22" customFormat="1" ht="10.15" customHeight="1" x14ac:dyDescent="0.2">
      <c r="J51" s="76"/>
      <c r="L51" s="77"/>
    </row>
    <row r="52" spans="2:14" s="22" customFormat="1" ht="10.15" customHeight="1" x14ac:dyDescent="0.2">
      <c r="J52" s="76"/>
      <c r="L52" s="77"/>
    </row>
  </sheetData>
  <mergeCells count="44">
    <mergeCell ref="B1:N1"/>
    <mergeCell ref="B2:N2"/>
    <mergeCell ref="B5:C5"/>
    <mergeCell ref="D5:G5"/>
    <mergeCell ref="K5:L5"/>
    <mergeCell ref="M5:N5"/>
    <mergeCell ref="B27:G27"/>
    <mergeCell ref="J27:N27"/>
    <mergeCell ref="C28:D28"/>
    <mergeCell ref="E28:F28"/>
    <mergeCell ref="J28:M28"/>
    <mergeCell ref="B6:C6"/>
    <mergeCell ref="D6:G6"/>
    <mergeCell ref="K6:L6"/>
    <mergeCell ref="M6:N6"/>
    <mergeCell ref="B8:G8"/>
    <mergeCell ref="I8:L8"/>
    <mergeCell ref="M8:N8"/>
    <mergeCell ref="J32:M32"/>
    <mergeCell ref="B35:G35"/>
    <mergeCell ref="C32:D32"/>
    <mergeCell ref="E32:F32"/>
    <mergeCell ref="C29:D29"/>
    <mergeCell ref="E29:F29"/>
    <mergeCell ref="J29:M29"/>
    <mergeCell ref="C30:D30"/>
    <mergeCell ref="E30:F30"/>
    <mergeCell ref="J30:M30"/>
    <mergeCell ref="C31:D31"/>
    <mergeCell ref="E31:F31"/>
    <mergeCell ref="J31:M31"/>
    <mergeCell ref="B43:N49"/>
    <mergeCell ref="J41:M41"/>
    <mergeCell ref="J35:N35"/>
    <mergeCell ref="J36:M36"/>
    <mergeCell ref="J37:M37"/>
    <mergeCell ref="J38:M38"/>
    <mergeCell ref="J39:M39"/>
    <mergeCell ref="J40:M40"/>
    <mergeCell ref="B39:G39"/>
    <mergeCell ref="B40:G40"/>
    <mergeCell ref="B37:G37"/>
    <mergeCell ref="B38:G38"/>
    <mergeCell ref="B36:G36"/>
  </mergeCells>
  <phoneticPr fontId="0" type="noConversion"/>
  <pageMargins left="0.7" right="0.7" top="0.75" bottom="0.75" header="0.3" footer="0.3"/>
  <pageSetup scale="66"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plan1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2026-07-01T16:56:16Z</cp:lastPrinted>
  <dcterms:created xsi:type="dcterms:W3CDTF">2010-01-16T14:52:12Z</dcterms:created>
  <dcterms:modified xsi:type="dcterms:W3CDTF">2026-07-01T17:07:55Z</dcterms:modified>
</cp:coreProperties>
</file>