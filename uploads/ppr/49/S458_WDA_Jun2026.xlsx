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1-IMA\Risk Management\Simple Dental\"/>
    </mc:Choice>
  </mc:AlternateContent>
  <xr:revisionPtr revIDLastSave="0" documentId="13_ncr:1_{5CD55855-0567-4ECD-8899-69EA5459F40B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2" i="1"/>
  <c r="H19" i="1" l="1"/>
  <c r="H20" i="1"/>
  <c r="H21" i="1"/>
  <c r="H22" i="1"/>
  <c r="H23" i="1"/>
  <c r="E25" i="1" l="1"/>
  <c r="F25" i="1"/>
  <c r="G25" i="1"/>
  <c r="D25" i="1"/>
  <c r="J25" i="1"/>
  <c r="K25" i="1"/>
  <c r="L25" i="1"/>
  <c r="M28" i="1" l="1"/>
  <c r="H25" i="1"/>
  <c r="M30" i="1" s="1"/>
  <c r="M29" i="1"/>
  <c r="M31" i="1"/>
  <c r="I25" i="1"/>
  <c r="M32" i="1" l="1"/>
</calcChain>
</file>

<file path=xl/sharedStrings.xml><?xml version="1.0" encoding="utf-8"?>
<sst xmlns="http://schemas.openxmlformats.org/spreadsheetml/2006/main" count="51" uniqueCount="44">
  <si>
    <t>Plan Year:</t>
  </si>
  <si>
    <t>through</t>
  </si>
  <si>
    <t>Group ID:</t>
  </si>
  <si>
    <t>Plan Name:</t>
  </si>
  <si>
    <t>Coverage:</t>
  </si>
  <si>
    <t>Plan ID:</t>
  </si>
  <si>
    <t>ENROLLMENT</t>
  </si>
  <si>
    <t>ADMIN</t>
  </si>
  <si>
    <t>CLAIMS</t>
  </si>
  <si>
    <t>Mon, Yr</t>
  </si>
  <si>
    <t>EE</t>
  </si>
  <si>
    <t>EF</t>
  </si>
  <si>
    <t>Total</t>
  </si>
  <si>
    <t>Costs</t>
  </si>
  <si>
    <t>Submitted</t>
  </si>
  <si>
    <t>Paid</t>
  </si>
  <si>
    <t>Number</t>
  </si>
  <si>
    <t>Averages</t>
  </si>
  <si>
    <t>Plan Information</t>
  </si>
  <si>
    <t>Important Year to Date Data</t>
  </si>
  <si>
    <t>Administration</t>
  </si>
  <si>
    <t>Average Claim Submitted</t>
  </si>
  <si>
    <t xml:space="preserve">EE Only </t>
  </si>
  <si>
    <t>Average Reimbursement</t>
  </si>
  <si>
    <t>Average Number of Claims per Employee per Year</t>
  </si>
  <si>
    <t>Average Reimbursement % of Submitted Charges</t>
  </si>
  <si>
    <t xml:space="preserve">EE &amp; Family </t>
  </si>
  <si>
    <t>Average Claim Paid per Employee per Month</t>
  </si>
  <si>
    <t>Plan Design</t>
  </si>
  <si>
    <t>Prior Year Data</t>
  </si>
  <si>
    <t>Monthly Performance Report - Budgeted vs Actual Claims Paid</t>
  </si>
  <si>
    <t>Dental</t>
  </si>
  <si>
    <t>Standard</t>
  </si>
  <si>
    <t>Ortho covered for Adult &amp; Children</t>
  </si>
  <si>
    <t>Wisconsin Dental Association</t>
  </si>
  <si>
    <t>S458</t>
  </si>
  <si>
    <t>S458DEN</t>
  </si>
  <si>
    <t>Flat Fee Per Month</t>
  </si>
  <si>
    <t>Plan</t>
  </si>
  <si>
    <t>See Above</t>
  </si>
  <si>
    <t>80% of the remaining $1,250.00</t>
  </si>
  <si>
    <t>Calendar Year Maximum $1,500</t>
  </si>
  <si>
    <t>Must Use WDA Dental Provider</t>
  </si>
  <si>
    <t>100% of the first $500, then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</si>
</sst>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m/d"/>
    <numFmt numFmtId="167" formatCode="&quot;$&quot;#,##0.00"/>
  </numFmts>
  <fonts count="17" x14ac:knownFonts="1">
    <font>
      <sz val="11"/>
      <color theme="1"/>
      <name val="Calibri"/>
      <family val="2"/>
      <scheme val="minor"/>
    </font>
    <font>
      <b/>
      <sz val="14"/>
      <color indexed="56"/>
      <name val="Arial"/>
      <family val="2"/>
    </font>
    <font>
      <sz val="14"/>
      <name val="Arial"/>
      <family val="2"/>
    </font>
    <font>
      <sz val="14"/>
      <color indexed="56"/>
      <name val="Arial"/>
      <family val="2"/>
    </font>
    <font>
      <b/>
      <sz val="9"/>
      <color indexed="56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4"/>
      <color indexed="2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5" fontId="7" fillId="0" borderId="0" xfId="1" applyNumberFormat="1" applyFont="1"/>
    <xf numFmtId="0" fontId="1" fillId="0" borderId="0" xfId="0" applyFont="1" applyAlignment="1">
      <alignment horizontal="right"/>
    </xf>
    <xf numFmtId="0" fontId="8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9" fillId="0" borderId="0" xfId="0" applyFont="1"/>
    <xf numFmtId="7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2" fillId="0" borderId="0" xfId="0" applyFont="1"/>
    <xf numFmtId="2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/>
    <xf numFmtId="166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3" xfId="0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7" xfId="0" applyFont="1" applyBorder="1" applyAlignment="1">
      <alignment horizontal="right"/>
    </xf>
    <xf numFmtId="166" fontId="11" fillId="0" borderId="8" xfId="0" applyNumberFormat="1" applyFont="1" applyBorder="1" applyAlignment="1">
      <alignment horizontal="right"/>
    </xf>
    <xf numFmtId="165" fontId="11" fillId="0" borderId="0" xfId="1" applyNumberFormat="1" applyFont="1" applyAlignment="1">
      <alignment horizontal="right"/>
    </xf>
    <xf numFmtId="166" fontId="11" fillId="0" borderId="9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7" fontId="12" fillId="0" borderId="6" xfId="0" quotePrefix="1" applyNumberFormat="1" applyFont="1" applyBorder="1" applyAlignment="1">
      <alignment horizontal="right"/>
    </xf>
    <xf numFmtId="165" fontId="12" fillId="0" borderId="4" xfId="1" applyNumberFormat="1" applyFont="1" applyBorder="1" applyAlignment="1">
      <alignment horizontal="right"/>
    </xf>
    <xf numFmtId="165" fontId="12" fillId="0" borderId="5" xfId="1" applyNumberFormat="1" applyFont="1" applyBorder="1" applyAlignment="1">
      <alignment horizontal="right"/>
    </xf>
    <xf numFmtId="44" fontId="12" fillId="0" borderId="11" xfId="2" applyFont="1" applyBorder="1" applyAlignment="1">
      <alignment horizontal="right"/>
    </xf>
    <xf numFmtId="44" fontId="12" fillId="0" borderId="4" xfId="2" applyFont="1" applyBorder="1" applyAlignment="1">
      <alignment horizontal="center"/>
    </xf>
    <xf numFmtId="44" fontId="12" fillId="0" borderId="4" xfId="2" applyFont="1" applyBorder="1"/>
    <xf numFmtId="165" fontId="12" fillId="0" borderId="5" xfId="1" applyNumberFormat="1" applyFont="1" applyBorder="1" applyAlignment="1">
      <alignment horizontal="center" wrapText="1"/>
    </xf>
    <xf numFmtId="165" fontId="12" fillId="0" borderId="0" xfId="0" applyNumberFormat="1" applyFont="1"/>
    <xf numFmtId="17" fontId="12" fillId="0" borderId="2" xfId="0" applyNumberFormat="1" applyFont="1" applyBorder="1" applyAlignment="1">
      <alignment horizontal="right"/>
    </xf>
    <xf numFmtId="165" fontId="12" fillId="0" borderId="0" xfId="1" applyNumberFormat="1" applyFont="1" applyAlignment="1">
      <alignment horizontal="right"/>
    </xf>
    <xf numFmtId="165" fontId="12" fillId="0" borderId="12" xfId="1" applyNumberFormat="1" applyFont="1" applyBorder="1" applyAlignment="1">
      <alignment horizontal="right"/>
    </xf>
    <xf numFmtId="165" fontId="12" fillId="0" borderId="0" xfId="1" applyNumberFormat="1" applyFont="1"/>
    <xf numFmtId="17" fontId="12" fillId="0" borderId="7" xfId="0" applyNumberFormat="1" applyFont="1" applyBorder="1" applyAlignment="1">
      <alignment horizontal="right"/>
    </xf>
    <xf numFmtId="165" fontId="12" fillId="0" borderId="8" xfId="1" applyNumberFormat="1" applyFont="1" applyBorder="1" applyAlignment="1">
      <alignment horizontal="right"/>
    </xf>
    <xf numFmtId="165" fontId="12" fillId="0" borderId="10" xfId="1" applyNumberFormat="1" applyFont="1" applyBorder="1" applyAlignment="1">
      <alignment horizontal="right"/>
    </xf>
    <xf numFmtId="44" fontId="12" fillId="0" borderId="9" xfId="2" applyFont="1" applyBorder="1" applyAlignment="1">
      <alignment horizontal="right"/>
    </xf>
    <xf numFmtId="44" fontId="12" fillId="0" borderId="8" xfId="2" applyFont="1" applyBorder="1" applyAlignment="1">
      <alignment horizontal="center"/>
    </xf>
    <xf numFmtId="44" fontId="12" fillId="0" borderId="8" xfId="2" applyFont="1" applyBorder="1"/>
    <xf numFmtId="165" fontId="12" fillId="0" borderId="10" xfId="1" applyNumberFormat="1" applyFont="1" applyBorder="1" applyAlignment="1">
      <alignment horizontal="center" wrapText="1"/>
    </xf>
    <xf numFmtId="165" fontId="11" fillId="0" borderId="14" xfId="1" applyNumberFormat="1" applyFont="1" applyBorder="1" applyAlignment="1">
      <alignment horizontal="right"/>
    </xf>
    <xf numFmtId="44" fontId="11" fillId="0" borderId="13" xfId="2" applyFont="1" applyBorder="1"/>
    <xf numFmtId="44" fontId="11" fillId="0" borderId="14" xfId="2" applyFont="1" applyBorder="1"/>
    <xf numFmtId="44" fontId="11" fillId="0" borderId="14" xfId="2" applyFont="1" applyBorder="1" applyAlignment="1">
      <alignment horizontal="right"/>
    </xf>
    <xf numFmtId="165" fontId="11" fillId="0" borderId="15" xfId="1" applyNumberFormat="1" applyFont="1" applyBorder="1" applyAlignment="1">
      <alignment horizontal="center" wrapText="1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16" xfId="0" applyFont="1" applyBorder="1"/>
    <xf numFmtId="0" fontId="12" fillId="0" borderId="17" xfId="0" applyFont="1" applyBorder="1" applyAlignment="1">
      <alignment horizontal="center"/>
    </xf>
    <xf numFmtId="44" fontId="12" fillId="0" borderId="17" xfId="2" applyFont="1" applyBorder="1"/>
    <xf numFmtId="0" fontId="12" fillId="0" borderId="17" xfId="0" applyFont="1" applyBorder="1" applyAlignment="1">
      <alignment horizontal="right"/>
    </xf>
    <xf numFmtId="167" fontId="12" fillId="0" borderId="17" xfId="0" applyNumberFormat="1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43" fontId="12" fillId="0" borderId="17" xfId="1" applyFont="1" applyBorder="1"/>
    <xf numFmtId="10" fontId="12" fillId="0" borderId="17" xfId="0" applyNumberFormat="1" applyFont="1" applyBorder="1"/>
    <xf numFmtId="3" fontId="12" fillId="0" borderId="0" xfId="0" applyNumberFormat="1" applyFont="1" applyAlignment="1">
      <alignment horizontal="left"/>
    </xf>
    <xf numFmtId="44" fontId="14" fillId="0" borderId="17" xfId="2" applyFont="1" applyBorder="1"/>
    <xf numFmtId="10" fontId="14" fillId="0" borderId="17" xfId="3" applyNumberFormat="1" applyFont="1" applyBorder="1"/>
    <xf numFmtId="165" fontId="15" fillId="0" borderId="14" xfId="1" applyNumberFormat="1" applyFont="1" applyBorder="1" applyAlignment="1">
      <alignment horizontal="right"/>
    </xf>
    <xf numFmtId="44" fontId="12" fillId="0" borderId="0" xfId="2" applyFont="1" applyAlignment="1">
      <alignment horizontal="right"/>
    </xf>
    <xf numFmtId="0" fontId="11" fillId="0" borderId="5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13" xfId="0" applyFont="1" applyBorder="1" applyAlignment="1">
      <alignment horizontal="right" wrapText="1"/>
    </xf>
    <xf numFmtId="3" fontId="12" fillId="0" borderId="2" xfId="0" applyNumberFormat="1" applyFont="1" applyBorder="1" applyAlignment="1">
      <alignment horizontal="left"/>
    </xf>
    <xf numFmtId="3" fontId="12" fillId="0" borderId="12" xfId="0" applyNumberFormat="1" applyFont="1" applyBorder="1" applyAlignment="1">
      <alignment horizontal="left"/>
    </xf>
    <xf numFmtId="0" fontId="16" fillId="0" borderId="0" xfId="0" applyFont="1"/>
    <xf numFmtId="8" fontId="12" fillId="0" borderId="3" xfId="2" applyNumberFormat="1" applyFont="1" applyBorder="1" applyAlignment="1">
      <alignment horizontal="right"/>
    </xf>
    <xf numFmtId="44" fontId="12" fillId="0" borderId="0" xfId="2" applyFont="1" applyBorder="1" applyAlignment="1">
      <alignment horizontal="right"/>
    </xf>
    <xf numFmtId="167" fontId="12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2" fontId="11" fillId="0" borderId="13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2" fillId="0" borderId="19" xfId="0" applyFont="1" applyBorder="1" applyAlignment="1">
      <alignment horizontal="right"/>
    </xf>
    <xf numFmtId="3" fontId="12" fillId="0" borderId="6" xfId="0" applyNumberFormat="1" applyFont="1" applyBorder="1" applyAlignment="1">
      <alignment horizontal="left"/>
    </xf>
    <xf numFmtId="3" fontId="12" fillId="0" borderId="4" xfId="0" applyNumberFormat="1" applyFont="1" applyBorder="1" applyAlignment="1">
      <alignment horizontal="left"/>
    </xf>
    <xf numFmtId="3" fontId="12" fillId="0" borderId="5" xfId="0" applyNumberFormat="1" applyFont="1" applyBorder="1" applyAlignment="1">
      <alignment horizontal="left"/>
    </xf>
    <xf numFmtId="167" fontId="12" fillId="0" borderId="18" xfId="0" applyNumberFormat="1" applyFont="1" applyBorder="1" applyAlignment="1">
      <alignment horizontal="center"/>
    </xf>
    <xf numFmtId="167" fontId="12" fillId="0" borderId="19" xfId="0" applyNumberFormat="1" applyFont="1" applyBorder="1" applyAlignment="1">
      <alignment horizontal="center"/>
    </xf>
    <xf numFmtId="167" fontId="12" fillId="0" borderId="16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3" fontId="12" fillId="0" borderId="2" xfId="0" applyNumberFormat="1" applyFont="1" applyBorder="1" applyAlignment="1">
      <alignment horizontal="left"/>
    </xf>
    <xf numFmtId="3" fontId="12" fillId="0" borderId="0" xfId="0" applyNumberFormat="1" applyFont="1" applyAlignment="1">
      <alignment horizontal="left"/>
    </xf>
    <xf numFmtId="3" fontId="12" fillId="0" borderId="12" xfId="0" applyNumberFormat="1" applyFont="1" applyBorder="1" applyAlignment="1">
      <alignment horizontal="left"/>
    </xf>
    <xf numFmtId="3" fontId="12" fillId="0" borderId="7" xfId="0" applyNumberFormat="1" applyFont="1" applyBorder="1" applyAlignment="1">
      <alignment horizontal="left"/>
    </xf>
    <xf numFmtId="3" fontId="12" fillId="0" borderId="8" xfId="0" applyNumberFormat="1" applyFont="1" applyBorder="1" applyAlignment="1">
      <alignment horizontal="left"/>
    </xf>
    <xf numFmtId="3" fontId="12" fillId="0" borderId="10" xfId="0" applyNumberFormat="1" applyFont="1" applyBorder="1" applyAlignment="1">
      <alignment horizontal="left"/>
    </xf>
    <xf numFmtId="0" fontId="14" fillId="0" borderId="16" xfId="0" applyFont="1" applyBorder="1" applyAlignment="1">
      <alignment horizontal="right"/>
    </xf>
    <xf numFmtId="0" fontId="14" fillId="0" borderId="18" xfId="0" applyFont="1" applyBorder="1" applyAlignment="1">
      <alignment horizontal="right"/>
    </xf>
    <xf numFmtId="0" fontId="14" fillId="0" borderId="19" xfId="0" applyFont="1" applyBorder="1" applyAlignment="1">
      <alignment horizontal="right"/>
    </xf>
    <xf numFmtId="0" fontId="13" fillId="0" borderId="16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28575</xdr:rowOff>
    </xdr:from>
    <xdr:to>
      <xdr:col>2</xdr:col>
      <xdr:colOff>492125</xdr:colOff>
      <xdr:row>3</xdr:row>
      <xdr:rowOff>111125</xdr:rowOff>
    </xdr:to>
    <xdr:pic>
      <xdr:nvPicPr>
        <xdr:cNvPr id="3123" name="Picture 1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5750"/>
          <a:ext cx="1581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46"/>
  <sheetViews>
    <sheetView tabSelected="1" workbookViewId="0">
      <selection activeCell="J18" sqref="J18"/>
    </sheetView>
  </sheetViews>
  <sheetFormatPr defaultColWidth="9.140625" defaultRowHeight="10.15" customHeight="1" x14ac:dyDescent="0.2"/>
  <cols>
    <col min="1" max="1" width="5" style="16" customWidth="1"/>
    <col min="2" max="2" width="16.42578125" style="16" bestFit="1" customWidth="1"/>
    <col min="3" max="3" width="14" style="16" customWidth="1"/>
    <col min="4" max="4" width="8.7109375" style="16" customWidth="1"/>
    <col min="5" max="6" width="8.85546875" style="16" bestFit="1" customWidth="1"/>
    <col min="7" max="7" width="10.7109375" style="16" customWidth="1"/>
    <col min="8" max="8" width="10.85546875" style="16" bestFit="1" customWidth="1"/>
    <col min="9" max="9" width="15.7109375" style="16" customWidth="1"/>
    <col min="10" max="10" width="15.7109375" style="18" customWidth="1"/>
    <col min="11" max="11" width="15.7109375" style="16" customWidth="1"/>
    <col min="12" max="12" width="16.140625" style="19" customWidth="1"/>
    <col min="13" max="13" width="16.28515625" style="16" bestFit="1" customWidth="1"/>
    <col min="14" max="14" width="15.7109375" style="16" customWidth="1"/>
    <col min="15" max="16384" width="9.140625" style="16"/>
  </cols>
  <sheetData>
    <row r="1" spans="2:26" s="1" customFormat="1" ht="20.25" customHeight="1" x14ac:dyDescent="0.25">
      <c r="B1" s="90" t="s">
        <v>34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2:26" s="1" customFormat="1" ht="20.25" customHeight="1" x14ac:dyDescent="0.25">
      <c r="B2" s="91" t="s">
        <v>30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2"/>
      <c r="P2" s="2"/>
      <c r="Q2" s="3"/>
      <c r="R2" s="2"/>
      <c r="S2" s="2"/>
      <c r="T2" s="2"/>
      <c r="U2" s="2"/>
      <c r="V2" s="2"/>
      <c r="W2" s="2"/>
      <c r="X2" s="2"/>
      <c r="Y2" s="2"/>
      <c r="Z2" s="2"/>
    </row>
    <row r="3" spans="2:26" s="1" customFormat="1" ht="20.25" customHeight="1" x14ac:dyDescent="0.25">
      <c r="G3" s="4" t="s">
        <v>0</v>
      </c>
      <c r="H3" s="5">
        <v>46023</v>
      </c>
      <c r="I3" s="20" t="s">
        <v>1</v>
      </c>
      <c r="J3" s="5">
        <v>46387</v>
      </c>
      <c r="L3" s="6"/>
      <c r="O3" s="7"/>
      <c r="P3" s="7"/>
      <c r="Q3" s="8"/>
      <c r="R3" s="9"/>
      <c r="S3" s="2"/>
      <c r="T3" s="2"/>
      <c r="U3" s="2"/>
      <c r="V3" s="2"/>
      <c r="W3" s="7"/>
      <c r="X3" s="10"/>
      <c r="Y3" s="11"/>
      <c r="Z3" s="11"/>
    </row>
    <row r="4" spans="2:26" s="1" customFormat="1" ht="20.25" customHeight="1" x14ac:dyDescent="0.25">
      <c r="B4" s="7"/>
      <c r="C4" s="7"/>
      <c r="D4" s="7"/>
      <c r="E4" s="7"/>
      <c r="F4" s="7"/>
      <c r="G4" s="2"/>
      <c r="H4" s="2"/>
      <c r="I4" s="12"/>
      <c r="J4" s="2"/>
      <c r="K4" s="7"/>
      <c r="L4" s="10"/>
      <c r="M4" s="11"/>
      <c r="N4" s="13"/>
      <c r="O4" s="11"/>
      <c r="P4" s="11"/>
      <c r="Q4" s="11"/>
      <c r="R4" s="11"/>
    </row>
    <row r="5" spans="2:26" s="1" customFormat="1" ht="20.25" customHeight="1" x14ac:dyDescent="0.25">
      <c r="B5" s="83" t="s">
        <v>2</v>
      </c>
      <c r="C5" s="83"/>
      <c r="D5" s="84" t="s">
        <v>35</v>
      </c>
      <c r="E5" s="84"/>
      <c r="F5" s="84"/>
      <c r="G5" s="84"/>
      <c r="H5" s="14"/>
      <c r="I5" s="15"/>
      <c r="J5" s="15"/>
      <c r="K5" s="13" t="s">
        <v>3</v>
      </c>
      <c r="L5" s="79" t="s">
        <v>32</v>
      </c>
      <c r="M5" s="2"/>
      <c r="N5" s="2"/>
    </row>
    <row r="6" spans="2:26" s="1" customFormat="1" ht="20.25" customHeight="1" x14ac:dyDescent="0.25">
      <c r="B6" s="83" t="s">
        <v>4</v>
      </c>
      <c r="C6" s="83"/>
      <c r="D6" s="84" t="s">
        <v>31</v>
      </c>
      <c r="E6" s="84"/>
      <c r="F6" s="84"/>
      <c r="G6" s="84"/>
      <c r="H6" s="14"/>
      <c r="I6" s="11"/>
      <c r="J6" s="11"/>
      <c r="K6" s="13" t="s">
        <v>5</v>
      </c>
      <c r="L6" s="2" t="s">
        <v>36</v>
      </c>
      <c r="M6" s="2"/>
      <c r="N6" s="2"/>
    </row>
    <row r="7" spans="2:26" ht="21" customHeight="1" thickBot="1" x14ac:dyDescent="0.25">
      <c r="C7" s="17"/>
      <c r="D7" s="17"/>
      <c r="E7" s="17"/>
    </row>
    <row r="8" spans="2:26" s="21" customFormat="1" ht="15.75" customHeight="1" thickBot="1" x14ac:dyDescent="0.25">
      <c r="C8" s="85" t="s">
        <v>6</v>
      </c>
      <c r="D8" s="86"/>
      <c r="E8" s="86"/>
      <c r="F8" s="86"/>
      <c r="G8" s="86"/>
      <c r="H8" s="86"/>
      <c r="I8" s="22" t="s">
        <v>7</v>
      </c>
      <c r="J8" s="87" t="s">
        <v>8</v>
      </c>
      <c r="K8" s="88"/>
      <c r="L8" s="89"/>
    </row>
    <row r="9" spans="2:26" s="21" customFormat="1" ht="15.75" customHeight="1" x14ac:dyDescent="0.25">
      <c r="C9" s="23"/>
      <c r="D9" s="24"/>
      <c r="E9" s="24"/>
      <c r="F9" s="24"/>
      <c r="G9" s="24"/>
      <c r="H9" s="25"/>
      <c r="I9" s="26"/>
      <c r="J9" s="27"/>
      <c r="K9" s="27"/>
      <c r="L9" s="74"/>
    </row>
    <row r="10" spans="2:26" s="21" customFormat="1" ht="15.75" customHeight="1" thickBot="1" x14ac:dyDescent="0.3">
      <c r="C10" s="28" t="s">
        <v>9</v>
      </c>
      <c r="D10" s="29" t="s">
        <v>10</v>
      </c>
      <c r="E10" s="30"/>
      <c r="F10" s="29"/>
      <c r="G10" s="29" t="s">
        <v>11</v>
      </c>
      <c r="H10" s="29" t="s">
        <v>12</v>
      </c>
      <c r="I10" s="31" t="s">
        <v>13</v>
      </c>
      <c r="J10" s="32" t="s">
        <v>14</v>
      </c>
      <c r="K10" s="32" t="s">
        <v>15</v>
      </c>
      <c r="L10" s="75" t="s">
        <v>16</v>
      </c>
    </row>
    <row r="11" spans="2:26" s="21" customFormat="1" ht="15.75" customHeight="1" x14ac:dyDescent="0.2">
      <c r="C11" s="33"/>
      <c r="D11" s="34"/>
      <c r="E11" s="34"/>
      <c r="F11" s="34"/>
      <c r="G11" s="34"/>
      <c r="H11" s="35"/>
      <c r="I11" s="36"/>
      <c r="J11" s="37"/>
      <c r="K11" s="38"/>
      <c r="L11" s="39"/>
      <c r="P11" s="40"/>
    </row>
    <row r="12" spans="2:26" s="21" customFormat="1" ht="15.75" customHeight="1" x14ac:dyDescent="0.2">
      <c r="C12" s="41">
        <v>46023</v>
      </c>
      <c r="D12" s="42">
        <v>7</v>
      </c>
      <c r="E12" s="42"/>
      <c r="F12" s="42"/>
      <c r="G12" s="42">
        <v>21</v>
      </c>
      <c r="H12" s="43">
        <f>D12+G12</f>
        <v>28</v>
      </c>
      <c r="I12" s="80">
        <v>290</v>
      </c>
      <c r="J12" s="73">
        <v>0</v>
      </c>
      <c r="K12" s="73">
        <v>0</v>
      </c>
      <c r="L12" s="43">
        <v>0</v>
      </c>
      <c r="O12" s="40"/>
      <c r="P12" s="40"/>
    </row>
    <row r="13" spans="2:26" s="21" customFormat="1" ht="15.75" customHeight="1" x14ac:dyDescent="0.2">
      <c r="C13" s="41">
        <v>46054</v>
      </c>
      <c r="D13" s="42">
        <v>8</v>
      </c>
      <c r="E13" s="42"/>
      <c r="F13" s="42"/>
      <c r="G13" s="42">
        <v>21</v>
      </c>
      <c r="H13" s="43">
        <f t="shared" ref="H13:H14" si="0">D13+G13</f>
        <v>29</v>
      </c>
      <c r="I13" s="80">
        <v>290</v>
      </c>
      <c r="J13" s="73">
        <v>0</v>
      </c>
      <c r="K13" s="73">
        <v>0</v>
      </c>
      <c r="L13" s="43">
        <v>0</v>
      </c>
      <c r="O13" s="44"/>
      <c r="P13" s="40"/>
    </row>
    <row r="14" spans="2:26" s="21" customFormat="1" ht="15.75" customHeight="1" x14ac:dyDescent="0.2">
      <c r="C14" s="41">
        <v>46082</v>
      </c>
      <c r="D14" s="42">
        <v>8</v>
      </c>
      <c r="E14" s="42"/>
      <c r="F14" s="42"/>
      <c r="G14" s="42">
        <v>21</v>
      </c>
      <c r="H14" s="43">
        <f t="shared" si="0"/>
        <v>29</v>
      </c>
      <c r="I14" s="80">
        <v>290</v>
      </c>
      <c r="J14" s="81">
        <v>746</v>
      </c>
      <c r="K14" s="82">
        <v>168</v>
      </c>
      <c r="L14" s="43">
        <v>2</v>
      </c>
      <c r="O14" s="44"/>
      <c r="P14" s="40"/>
    </row>
    <row r="15" spans="2:26" s="21" customFormat="1" ht="15.75" customHeight="1" x14ac:dyDescent="0.2">
      <c r="C15" s="41">
        <v>46113</v>
      </c>
      <c r="D15" s="42">
        <v>8</v>
      </c>
      <c r="E15" s="42"/>
      <c r="F15" s="42"/>
      <c r="G15" s="42">
        <v>21</v>
      </c>
      <c r="H15" s="43">
        <f t="shared" ref="H15:H18" si="1">D15+G15</f>
        <v>29</v>
      </c>
      <c r="I15" s="80">
        <v>290</v>
      </c>
      <c r="J15" s="73">
        <v>19271</v>
      </c>
      <c r="K15" s="73">
        <v>6686.6</v>
      </c>
      <c r="L15" s="43">
        <v>34</v>
      </c>
      <c r="O15" s="44"/>
      <c r="P15" s="40"/>
    </row>
    <row r="16" spans="2:26" s="21" customFormat="1" ht="15.75" customHeight="1" x14ac:dyDescent="0.2">
      <c r="C16" s="41">
        <v>46143</v>
      </c>
      <c r="D16" s="42">
        <v>8</v>
      </c>
      <c r="E16" s="42"/>
      <c r="F16" s="42"/>
      <c r="G16" s="42">
        <v>21</v>
      </c>
      <c r="H16" s="43">
        <f t="shared" si="1"/>
        <v>29</v>
      </c>
      <c r="I16" s="80">
        <v>290</v>
      </c>
      <c r="J16" s="73">
        <v>12772</v>
      </c>
      <c r="K16" s="73">
        <v>5136.5</v>
      </c>
      <c r="L16" s="43">
        <v>32</v>
      </c>
      <c r="O16" s="44"/>
      <c r="P16" s="40"/>
    </row>
    <row r="17" spans="2:16" s="21" customFormat="1" ht="15.75" customHeight="1" x14ac:dyDescent="0.2">
      <c r="C17" s="41">
        <v>46174</v>
      </c>
      <c r="D17" s="42">
        <v>8</v>
      </c>
      <c r="E17" s="42"/>
      <c r="F17" s="42"/>
      <c r="G17" s="42">
        <v>21</v>
      </c>
      <c r="H17" s="43">
        <f t="shared" si="1"/>
        <v>29</v>
      </c>
      <c r="I17" s="80">
        <v>290</v>
      </c>
      <c r="J17" s="73">
        <v>8675</v>
      </c>
      <c r="K17" s="73">
        <v>4480.1000000000004</v>
      </c>
      <c r="L17" s="43">
        <v>19</v>
      </c>
      <c r="O17" s="44"/>
      <c r="P17" s="40"/>
    </row>
    <row r="18" spans="2:16" s="21" customFormat="1" ht="15.75" customHeight="1" x14ac:dyDescent="0.2">
      <c r="C18" s="41">
        <v>46204</v>
      </c>
      <c r="D18" s="42"/>
      <c r="E18" s="42"/>
      <c r="F18" s="42"/>
      <c r="G18" s="42"/>
      <c r="H18" s="43">
        <f t="shared" si="1"/>
        <v>0</v>
      </c>
      <c r="I18" s="80">
        <v>290</v>
      </c>
      <c r="J18" s="73"/>
      <c r="K18" s="73"/>
      <c r="L18" s="43"/>
      <c r="O18" s="44"/>
      <c r="P18" s="40"/>
    </row>
    <row r="19" spans="2:16" s="21" customFormat="1" ht="15.75" customHeight="1" x14ac:dyDescent="0.2">
      <c r="C19" s="41">
        <v>46235</v>
      </c>
      <c r="D19" s="42"/>
      <c r="E19" s="42"/>
      <c r="F19" s="42"/>
      <c r="G19" s="42"/>
      <c r="H19" s="43">
        <f t="shared" ref="H19:H23" si="2">SUM(D19:G19)</f>
        <v>0</v>
      </c>
      <c r="I19" s="80">
        <v>290</v>
      </c>
      <c r="J19" s="73"/>
      <c r="K19" s="73"/>
      <c r="L19" s="43"/>
      <c r="O19" s="44"/>
      <c r="P19" s="40"/>
    </row>
    <row r="20" spans="2:16" s="21" customFormat="1" ht="15.75" customHeight="1" x14ac:dyDescent="0.2">
      <c r="C20" s="41">
        <v>46266</v>
      </c>
      <c r="D20" s="42"/>
      <c r="E20" s="42"/>
      <c r="F20" s="42"/>
      <c r="G20" s="42"/>
      <c r="H20" s="43">
        <f t="shared" si="2"/>
        <v>0</v>
      </c>
      <c r="I20" s="80">
        <v>290</v>
      </c>
      <c r="J20" s="73"/>
      <c r="K20" s="73"/>
      <c r="L20" s="43"/>
      <c r="O20" s="44"/>
      <c r="P20" s="40"/>
    </row>
    <row r="21" spans="2:16" s="21" customFormat="1" ht="15.75" customHeight="1" x14ac:dyDescent="0.2">
      <c r="C21" s="41">
        <v>46296</v>
      </c>
      <c r="D21" s="42"/>
      <c r="E21" s="42"/>
      <c r="F21" s="42"/>
      <c r="G21" s="42"/>
      <c r="H21" s="43">
        <f t="shared" si="2"/>
        <v>0</v>
      </c>
      <c r="I21" s="80">
        <v>290</v>
      </c>
      <c r="J21" s="73"/>
      <c r="K21" s="73"/>
      <c r="L21" s="43"/>
      <c r="O21" s="44"/>
      <c r="P21" s="40"/>
    </row>
    <row r="22" spans="2:16" s="21" customFormat="1" ht="15.75" customHeight="1" x14ac:dyDescent="0.2">
      <c r="C22" s="41">
        <v>46327</v>
      </c>
      <c r="D22" s="42"/>
      <c r="E22" s="42"/>
      <c r="F22" s="42"/>
      <c r="G22" s="42"/>
      <c r="H22" s="43">
        <f t="shared" si="2"/>
        <v>0</v>
      </c>
      <c r="I22" s="80">
        <v>290</v>
      </c>
      <c r="J22" s="73"/>
      <c r="K22" s="73"/>
      <c r="L22" s="43"/>
      <c r="O22" s="44"/>
      <c r="P22" s="40"/>
    </row>
    <row r="23" spans="2:16" s="21" customFormat="1" ht="15.75" customHeight="1" x14ac:dyDescent="0.2">
      <c r="C23" s="41">
        <v>46357</v>
      </c>
      <c r="D23" s="42"/>
      <c r="E23" s="42"/>
      <c r="F23" s="42"/>
      <c r="G23" s="42"/>
      <c r="H23" s="43">
        <f t="shared" si="2"/>
        <v>0</v>
      </c>
      <c r="I23" s="80">
        <v>290</v>
      </c>
      <c r="J23" s="73"/>
      <c r="K23" s="73"/>
      <c r="L23" s="43"/>
      <c r="O23" s="44"/>
      <c r="P23" s="40"/>
    </row>
    <row r="24" spans="2:16" s="21" customFormat="1" ht="15.75" customHeight="1" thickBot="1" x14ac:dyDescent="0.25">
      <c r="C24" s="45"/>
      <c r="D24" s="46"/>
      <c r="E24" s="46"/>
      <c r="F24" s="46"/>
      <c r="G24" s="46"/>
      <c r="H24" s="47"/>
      <c r="I24" s="48"/>
      <c r="J24" s="49"/>
      <c r="K24" s="50"/>
      <c r="L24" s="51"/>
    </row>
    <row r="25" spans="2:16" s="57" customFormat="1" ht="15.75" customHeight="1" thickBot="1" x14ac:dyDescent="0.3">
      <c r="C25" s="76" t="s">
        <v>17</v>
      </c>
      <c r="D25" s="52">
        <f>AVERAGEIF(D12:D23,"&gt;0")</f>
        <v>7.833333333333333</v>
      </c>
      <c r="E25" s="72" t="e">
        <f>AVERAGEIF(E12:E23,"&gt;0")</f>
        <v>#DIV/0!</v>
      </c>
      <c r="F25" s="72" t="e">
        <f>AVERAGEIF(F12:F23,"&gt;0")</f>
        <v>#DIV/0!</v>
      </c>
      <c r="G25" s="52">
        <f>AVERAGEIF(G12:G23,"&gt;0")</f>
        <v>21</v>
      </c>
      <c r="H25" s="52">
        <f>AVERAGEIF(H12:H23,"&gt;0")</f>
        <v>28.833333333333332</v>
      </c>
      <c r="I25" s="53">
        <f>SUM(I11:I23)</f>
        <v>3480</v>
      </c>
      <c r="J25" s="54">
        <f>SUM(J11:J23)</f>
        <v>41464</v>
      </c>
      <c r="K25" s="55">
        <f>SUM(K11:K23)</f>
        <v>16471.2</v>
      </c>
      <c r="L25" s="56">
        <f>SUM(L12:L23)</f>
        <v>87</v>
      </c>
    </row>
    <row r="26" spans="2:16" s="21" customFormat="1" ht="15.75" customHeight="1" x14ac:dyDescent="0.2">
      <c r="I26" s="58"/>
      <c r="K26" s="59"/>
    </row>
    <row r="27" spans="2:16" s="21" customFormat="1" ht="15.75" customHeight="1" x14ac:dyDescent="0.25">
      <c r="B27" s="92" t="s">
        <v>18</v>
      </c>
      <c r="C27" s="93"/>
      <c r="D27" s="93"/>
      <c r="E27" s="93"/>
      <c r="F27" s="93"/>
      <c r="G27" s="94"/>
      <c r="H27" s="60"/>
      <c r="I27" s="92" t="s">
        <v>19</v>
      </c>
      <c r="J27" s="93"/>
      <c r="K27" s="93"/>
      <c r="L27" s="93"/>
      <c r="M27" s="94"/>
    </row>
    <row r="28" spans="2:16" s="21" customFormat="1" ht="15.75" customHeight="1" x14ac:dyDescent="0.2">
      <c r="B28" s="61"/>
      <c r="C28" s="95"/>
      <c r="D28" s="96"/>
      <c r="E28" s="97" t="s">
        <v>20</v>
      </c>
      <c r="F28" s="96"/>
      <c r="G28" s="62" t="s">
        <v>38</v>
      </c>
      <c r="H28" s="58"/>
      <c r="I28" s="98" t="s">
        <v>21</v>
      </c>
      <c r="J28" s="99"/>
      <c r="K28" s="99"/>
      <c r="L28" s="100"/>
      <c r="M28" s="63">
        <f>J25/L25</f>
        <v>476.59770114942529</v>
      </c>
    </row>
    <row r="29" spans="2:16" s="21" customFormat="1" ht="15.75" customHeight="1" x14ac:dyDescent="0.2">
      <c r="B29" s="64" t="s">
        <v>22</v>
      </c>
      <c r="C29" s="104" t="s">
        <v>37</v>
      </c>
      <c r="D29" s="105"/>
      <c r="E29" s="106">
        <v>290</v>
      </c>
      <c r="F29" s="105"/>
      <c r="G29" s="65" t="s">
        <v>31</v>
      </c>
      <c r="H29" s="66"/>
      <c r="I29" s="98" t="s">
        <v>23</v>
      </c>
      <c r="J29" s="99"/>
      <c r="K29" s="99"/>
      <c r="L29" s="100"/>
      <c r="M29" s="63">
        <f>K25/L25</f>
        <v>189.3241379310345</v>
      </c>
    </row>
    <row r="30" spans="2:16" s="21" customFormat="1" ht="15.75" customHeight="1" x14ac:dyDescent="0.2">
      <c r="B30" s="64" t="s">
        <v>26</v>
      </c>
      <c r="C30" s="104"/>
      <c r="D30" s="105"/>
      <c r="E30" s="106" t="s">
        <v>39</v>
      </c>
      <c r="F30" s="105"/>
      <c r="G30" s="65" t="s">
        <v>31</v>
      </c>
      <c r="H30" s="66"/>
      <c r="I30" s="98" t="s">
        <v>24</v>
      </c>
      <c r="J30" s="99"/>
      <c r="K30" s="99"/>
      <c r="L30" s="100"/>
      <c r="M30" s="67">
        <f>((L25/COUNTIF(H12:H23,"&gt;0"))*12)/H25</f>
        <v>6.0346820809248554</v>
      </c>
    </row>
    <row r="31" spans="2:16" s="21" customFormat="1" ht="15.75" customHeight="1" thickBot="1" x14ac:dyDescent="0.25">
      <c r="H31" s="66"/>
      <c r="I31" s="98" t="s">
        <v>25</v>
      </c>
      <c r="J31" s="99"/>
      <c r="K31" s="99"/>
      <c r="L31" s="100"/>
      <c r="M31" s="68">
        <f>K25/J25</f>
        <v>0.39724098012733938</v>
      </c>
    </row>
    <row r="32" spans="2:16" s="21" customFormat="1" ht="15.75" customHeight="1" thickBot="1" x14ac:dyDescent="0.3">
      <c r="B32" s="107" t="s">
        <v>28</v>
      </c>
      <c r="C32" s="108"/>
      <c r="D32" s="108"/>
      <c r="E32" s="108"/>
      <c r="F32" s="108"/>
      <c r="G32" s="109"/>
      <c r="H32" s="66"/>
      <c r="I32" s="98" t="s">
        <v>27</v>
      </c>
      <c r="J32" s="99"/>
      <c r="K32" s="99"/>
      <c r="L32" s="100"/>
      <c r="M32" s="63">
        <f>K25/H25/(COUNTIF(H12:H23,"&gt;0"))</f>
        <v>95.209248554913302</v>
      </c>
    </row>
    <row r="33" spans="2:14" s="21" customFormat="1" ht="15.75" customHeight="1" x14ac:dyDescent="0.2">
      <c r="B33" s="101" t="s">
        <v>43</v>
      </c>
      <c r="C33" s="102"/>
      <c r="D33" s="102"/>
      <c r="E33" s="102"/>
      <c r="F33" s="102"/>
      <c r="G33" s="103"/>
      <c r="I33" s="58"/>
      <c r="K33" s="59"/>
    </row>
    <row r="34" spans="2:14" s="21" customFormat="1" ht="15.75" customHeight="1" x14ac:dyDescent="0.25">
      <c r="B34" s="110" t="s">
        <v>40</v>
      </c>
      <c r="C34" s="111"/>
      <c r="D34" s="111"/>
      <c r="E34" s="111"/>
      <c r="F34" s="111"/>
      <c r="G34" s="112"/>
      <c r="H34" s="60"/>
      <c r="I34" s="119" t="s">
        <v>29</v>
      </c>
      <c r="J34" s="120"/>
      <c r="K34" s="120"/>
      <c r="L34" s="120"/>
      <c r="M34" s="121"/>
    </row>
    <row r="35" spans="2:14" s="21" customFormat="1" ht="15.75" customHeight="1" x14ac:dyDescent="0.2">
      <c r="B35" s="110" t="s">
        <v>41</v>
      </c>
      <c r="C35" s="111"/>
      <c r="D35" s="111"/>
      <c r="E35" s="111"/>
      <c r="F35" s="111"/>
      <c r="G35" s="112"/>
      <c r="H35" s="69"/>
      <c r="I35" s="116" t="s">
        <v>21</v>
      </c>
      <c r="J35" s="117"/>
      <c r="K35" s="117"/>
      <c r="L35" s="118"/>
      <c r="M35" s="70">
        <v>460.34</v>
      </c>
    </row>
    <row r="36" spans="2:14" s="21" customFormat="1" ht="15.75" customHeight="1" x14ac:dyDescent="0.2">
      <c r="B36" s="77" t="s">
        <v>33</v>
      </c>
      <c r="C36" s="69"/>
      <c r="D36" s="69"/>
      <c r="E36" s="69"/>
      <c r="F36" s="69"/>
      <c r="G36" s="78"/>
      <c r="H36" s="69"/>
      <c r="I36" s="116" t="s">
        <v>23</v>
      </c>
      <c r="J36" s="117"/>
      <c r="K36" s="117"/>
      <c r="L36" s="118"/>
      <c r="M36" s="70">
        <v>326.74</v>
      </c>
    </row>
    <row r="37" spans="2:14" s="21" customFormat="1" ht="15.75" customHeight="1" x14ac:dyDescent="0.2">
      <c r="B37" s="77" t="s">
        <v>42</v>
      </c>
      <c r="C37" s="69"/>
      <c r="D37" s="69"/>
      <c r="E37" s="69"/>
      <c r="F37" s="69"/>
      <c r="G37" s="78"/>
      <c r="H37" s="69"/>
      <c r="I37" s="116" t="s">
        <v>24</v>
      </c>
      <c r="J37" s="117"/>
      <c r="K37" s="117"/>
      <c r="L37" s="118"/>
      <c r="M37" s="70">
        <v>4.25</v>
      </c>
    </row>
    <row r="38" spans="2:14" s="21" customFormat="1" ht="15.75" customHeight="1" x14ac:dyDescent="0.2">
      <c r="B38" s="110"/>
      <c r="C38" s="111"/>
      <c r="D38" s="111"/>
      <c r="E38" s="111"/>
      <c r="F38" s="111"/>
      <c r="G38" s="112"/>
      <c r="H38" s="69"/>
      <c r="I38" s="116" t="s">
        <v>25</v>
      </c>
      <c r="J38" s="117"/>
      <c r="K38" s="117"/>
      <c r="L38" s="118"/>
      <c r="M38" s="71">
        <v>0.70979999999999999</v>
      </c>
    </row>
    <row r="39" spans="2:14" s="21" customFormat="1" ht="15.75" customHeight="1" x14ac:dyDescent="0.2">
      <c r="B39" s="77"/>
      <c r="C39" s="69"/>
      <c r="D39" s="69"/>
      <c r="E39" s="69"/>
      <c r="F39" s="69"/>
      <c r="G39" s="78"/>
      <c r="H39" s="69"/>
      <c r="I39" s="116" t="s">
        <v>27</v>
      </c>
      <c r="J39" s="117"/>
      <c r="K39" s="117"/>
      <c r="L39" s="118"/>
      <c r="M39" s="70">
        <v>115.85</v>
      </c>
    </row>
    <row r="40" spans="2:14" s="21" customFormat="1" ht="15.75" thickBot="1" x14ac:dyDescent="0.25">
      <c r="B40" s="113"/>
      <c r="C40" s="114"/>
      <c r="D40" s="114"/>
      <c r="E40" s="114"/>
      <c r="F40" s="114"/>
      <c r="G40" s="115"/>
      <c r="H40" s="69"/>
    </row>
    <row r="41" spans="2:14" s="21" customFormat="1" ht="15" x14ac:dyDescent="0.2">
      <c r="H41" s="69"/>
    </row>
    <row r="42" spans="2:14" s="21" customFormat="1" ht="15" x14ac:dyDescent="0.2">
      <c r="B42" s="16"/>
      <c r="C42" s="16"/>
      <c r="D42" s="16"/>
      <c r="E42" s="16"/>
      <c r="F42" s="16"/>
      <c r="G42" s="16"/>
    </row>
    <row r="43" spans="2:14" s="21" customFormat="1" ht="10.15" customHeight="1" x14ac:dyDescent="0.2">
      <c r="B43" s="16"/>
      <c r="C43" s="16"/>
      <c r="D43" s="16"/>
      <c r="E43" s="16"/>
      <c r="F43" s="16"/>
      <c r="G43" s="16"/>
      <c r="I43" s="16"/>
      <c r="J43" s="18"/>
      <c r="K43" s="16"/>
      <c r="L43" s="19"/>
      <c r="M43" s="16"/>
    </row>
    <row r="44" spans="2:14" s="21" customFormat="1" ht="10.15" customHeight="1" x14ac:dyDescent="0.2">
      <c r="B44" s="16"/>
      <c r="C44" s="16"/>
      <c r="D44" s="16"/>
      <c r="E44" s="16"/>
      <c r="F44" s="16"/>
      <c r="G44" s="16"/>
      <c r="H44" s="16"/>
      <c r="I44" s="16"/>
      <c r="J44" s="18"/>
      <c r="K44" s="16"/>
      <c r="L44" s="19"/>
      <c r="M44" s="16"/>
      <c r="N44" s="16"/>
    </row>
    <row r="45" spans="2:14" s="21" customFormat="1" ht="10.15" customHeight="1" x14ac:dyDescent="0.2">
      <c r="B45" s="16"/>
      <c r="C45" s="16"/>
      <c r="D45" s="16"/>
      <c r="E45" s="16"/>
      <c r="F45" s="16"/>
      <c r="G45" s="16"/>
      <c r="H45" s="16"/>
      <c r="I45" s="16"/>
      <c r="J45" s="18"/>
      <c r="K45" s="16"/>
      <c r="L45" s="19"/>
      <c r="M45" s="16"/>
      <c r="N45" s="16"/>
    </row>
    <row r="46" spans="2:14" s="21" customFormat="1" ht="10.15" customHeight="1" x14ac:dyDescent="0.2">
      <c r="B46" s="16"/>
      <c r="C46" s="16"/>
      <c r="D46" s="16"/>
      <c r="E46" s="16"/>
      <c r="F46" s="16"/>
      <c r="G46" s="16"/>
      <c r="H46" s="16"/>
      <c r="I46" s="16"/>
      <c r="J46" s="18"/>
      <c r="K46" s="16"/>
      <c r="L46" s="19"/>
      <c r="M46" s="16"/>
      <c r="N46" s="16"/>
    </row>
  </sheetData>
  <mergeCells count="33">
    <mergeCell ref="B38:G38"/>
    <mergeCell ref="B40:G40"/>
    <mergeCell ref="I39:L39"/>
    <mergeCell ref="B34:G34"/>
    <mergeCell ref="B35:G35"/>
    <mergeCell ref="I36:L36"/>
    <mergeCell ref="I37:L37"/>
    <mergeCell ref="I38:L38"/>
    <mergeCell ref="I34:M34"/>
    <mergeCell ref="I35:L35"/>
    <mergeCell ref="B33:G33"/>
    <mergeCell ref="C29:D29"/>
    <mergeCell ref="E29:F29"/>
    <mergeCell ref="I29:L29"/>
    <mergeCell ref="I30:L30"/>
    <mergeCell ref="C30:D30"/>
    <mergeCell ref="E30:F30"/>
    <mergeCell ref="I31:L31"/>
    <mergeCell ref="I32:L32"/>
    <mergeCell ref="B32:G32"/>
    <mergeCell ref="B27:G27"/>
    <mergeCell ref="I27:M27"/>
    <mergeCell ref="C28:D28"/>
    <mergeCell ref="E28:F28"/>
    <mergeCell ref="I28:L28"/>
    <mergeCell ref="B6:C6"/>
    <mergeCell ref="D6:G6"/>
    <mergeCell ref="C8:H8"/>
    <mergeCell ref="J8:L8"/>
    <mergeCell ref="B1:N1"/>
    <mergeCell ref="B2:N2"/>
    <mergeCell ref="B5:C5"/>
    <mergeCell ref="D5:G5"/>
  </mergeCells>
  <phoneticPr fontId="0" type="noConversion"/>
  <pageMargins left="0.7" right="0.7" top="0.75" bottom="0.75" header="0.3" footer="0.3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Shaibrielle Bradford</cp:lastModifiedBy>
  <cp:lastPrinted>2026-02-02T17:23:56Z</cp:lastPrinted>
  <dcterms:created xsi:type="dcterms:W3CDTF">2010-01-16T14:52:12Z</dcterms:created>
  <dcterms:modified xsi:type="dcterms:W3CDTF">2026-07-01T18:34:32Z</dcterms:modified>
</cp:coreProperties>
</file>