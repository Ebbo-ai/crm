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9E78B482-1EF9-4BBB-91DB-3736E96C6263}" xr6:coauthVersionLast="47" xr6:coauthVersionMax="47" xr10:uidLastSave="{00000000-0000-0000-0000-000000000000}"/>
  <bookViews>
    <workbookView xWindow="-105" yWindow="0" windowWidth="26010" windowHeight="20985" xr2:uid="{00000000-000D-0000-FFFF-FFFF00000000}"/>
  </bookViews>
  <sheets>
    <sheet name="plan1"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6" i="1"/>
  <c r="N13" i="1"/>
  <c r="N14" i="1"/>
  <c r="N15" i="1"/>
  <c r="N12" i="1"/>
  <c r="M13" i="1"/>
  <c r="M14" i="1"/>
  <c r="M15" i="1"/>
  <c r="M18" i="1"/>
  <c r="M19" i="1"/>
  <c r="M20" i="1"/>
  <c r="M21" i="1"/>
  <c r="M22" i="1"/>
  <c r="M23" i="1"/>
  <c r="M12" i="1"/>
  <c r="D14" i="1"/>
  <c r="D13" i="1"/>
  <c r="E12" i="1"/>
  <c r="D12" i="1"/>
  <c r="H19" i="1"/>
  <c r="I19" i="1" l="1"/>
  <c r="D25" i="1" l="1"/>
  <c r="E25" i="1"/>
  <c r="G12" i="1"/>
  <c r="H12" i="1"/>
  <c r="I12" i="1"/>
  <c r="G13" i="1"/>
  <c r="H13" i="1"/>
  <c r="I13" i="1"/>
  <c r="G14" i="1"/>
  <c r="H14" i="1"/>
  <c r="I14" i="1"/>
  <c r="G15" i="1"/>
  <c r="H15" i="1"/>
  <c r="I15" i="1"/>
  <c r="G16" i="1"/>
  <c r="H16" i="1"/>
  <c r="I16" i="1"/>
  <c r="M16" i="1" s="1"/>
  <c r="G17" i="1"/>
  <c r="H17" i="1"/>
  <c r="I17" i="1"/>
  <c r="M17" i="1" s="1"/>
  <c r="G18" i="1"/>
  <c r="H18" i="1"/>
  <c r="I18" i="1"/>
  <c r="G19" i="1"/>
  <c r="G20" i="1"/>
  <c r="H20" i="1"/>
  <c r="I20" i="1"/>
  <c r="G21" i="1"/>
  <c r="H21" i="1"/>
  <c r="I21" i="1"/>
  <c r="G22" i="1"/>
  <c r="H22" i="1"/>
  <c r="I22" i="1"/>
  <c r="G23" i="1"/>
  <c r="H23" i="1"/>
  <c r="I23" i="1"/>
  <c r="C25" i="1"/>
  <c r="F25" i="1"/>
  <c r="J25" i="1"/>
  <c r="K25" i="1"/>
  <c r="L25" i="1"/>
  <c r="G29" i="1"/>
  <c r="B30" i="1"/>
  <c r="G30" i="1"/>
  <c r="G31" i="1"/>
  <c r="G32" i="1"/>
  <c r="G25" i="1" l="1"/>
  <c r="N30" i="1" s="1"/>
  <c r="N29" i="1"/>
  <c r="N31" i="1"/>
  <c r="N28" i="1"/>
  <c r="I25" i="1"/>
  <c r="N25" i="1" s="1"/>
  <c r="H25" i="1"/>
  <c r="M25" i="1" l="1"/>
  <c r="N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Theresa Walden</author>
  </authors>
  <commentList>
    <comment ref="E10" authorId="0" shapeId="0" xr:uid="{00000000-0006-0000-0000-000001000000}">
      <text>
        <r>
          <rPr>
            <b/>
            <sz val="9"/>
            <color indexed="81"/>
            <rFont val="Tahoma"/>
            <family val="2"/>
          </rPr>
          <t>Theresa Walden:</t>
        </r>
        <r>
          <rPr>
            <sz val="9"/>
            <color indexed="81"/>
            <rFont val="Tahoma"/>
            <family val="2"/>
          </rPr>
          <t xml:space="preserve">
F03 and P04
</t>
        </r>
      </text>
    </comment>
  </commentList>
</comments>
</file>

<file path=xl/sharedStrings.xml><?xml version="1.0" encoding="utf-8"?>
<sst xmlns="http://schemas.openxmlformats.org/spreadsheetml/2006/main" count="59" uniqueCount="53">
  <si>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</si>
  <si>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</si>
  <si>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</si>
  <si>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</si>
  <si>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</si>
  <si>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</si>
  <si>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</si>
  <si>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</si>
  <si>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</si>
  <si>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</si>
  <si>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</si>
  <si>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</si>
  <si>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</si>
  <si>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</si>
  <si>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</si>
  <si>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</si>
  <si>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</si>
  <si>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</si>
  <si>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</si>
  <si>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</si>
  <si>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</si>
  <si>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</si>
  <si>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</si>
  <si>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</si>
  <si>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</si>
  <si>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</si>
  <si>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</si>
  <si>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</si>
  <si>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</si>
  <si>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</si>
  <si>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</si>
  <si>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</si>
  <si>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</si>
  <si>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</si>
  <si>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Average Claim Paid per Employee per Month</t>
  </si>
  <si>
    <t>Plan Design</t>
  </si>
  <si>
    <t>Ortho covered for Adults and Children</t>
  </si>
  <si>
    <t>Assignment of Benefits</t>
  </si>
  <si>
    <t>Annual Maximum Amount $1,500</t>
  </si>
  <si>
    <t>Prior Year Data</t>
  </si>
  <si>
    <t>Surplus (Deficit)</t>
  </si>
  <si>
    <t>Monthly Performance Report - Budgeted vs Actual Claims Paid</t>
  </si>
  <si>
    <t>S440</t>
  </si>
  <si>
    <t>Utah Valley Pediatrics</t>
  </si>
  <si>
    <t>Dental</t>
  </si>
  <si>
    <t>Standard</t>
  </si>
  <si>
    <t>S440DEN</t>
  </si>
  <si>
    <t>100% of the first $100</t>
  </si>
  <si>
    <t xml:space="preserve">EE &amp; 5 or 
more dep </t>
  </si>
  <si>
    <t>E+1</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</si>
  <si>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</si>
  <si>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xml:space="preserve">EE &amp; 4 or less dep </t>
  </si>
  <si>
    <t>70% of the next $100; 50% of the next $2660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</si>
</sst>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sz val="9"/>
      <color indexed="81"/>
      <name val="Tahoma"/>
      <family val="2"/>
    </font>
    <font>
      <b/>
      <sz val="9"/>
      <color indexed="81"/>
      <name val="Tahoma"/>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sz val="12"/>
      <color theme="1"/>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8">
    <xf numFmtId="0" fontId="0" fillId="0" borderId="0" xfId="0"/>
    <xf numFmtId="0" fontId="2" fillId="0" borderId="0" xfId="0" applyFont="1"/>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applyProtection="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0" fontId="3" fillId="0" borderId="0" xfId="0" applyFont="1" applyAlignment="1">
      <alignment horizontal="center"/>
    </xf>
    <xf numFmtId="2" fontId="13" fillId="0" borderId="1" xfId="0" applyNumberFormat="1" applyFont="1" applyBorder="1" applyAlignment="1">
      <alignment horizontal="center" vertical="center"/>
    </xf>
    <xf numFmtId="0" fontId="14" fillId="0" borderId="0" xfId="0" applyFont="1"/>
    <xf numFmtId="0" fontId="13" fillId="0" borderId="2" xfId="0" applyFont="1" applyBorder="1"/>
    <xf numFmtId="166" fontId="13" fillId="0" borderId="0" xfId="0" applyNumberFormat="1" applyFont="1" applyAlignment="1">
      <alignment horizontal="right"/>
    </xf>
    <xf numFmtId="0" fontId="13" fillId="0" borderId="0" xfId="0" applyFont="1" applyAlignment="1">
      <alignment horizontal="right"/>
    </xf>
    <xf numFmtId="0" fontId="13" fillId="0" borderId="3" xfId="0" applyFont="1" applyBorder="1" applyAlignment="1">
      <alignment horizontal="right"/>
    </xf>
    <xf numFmtId="0" fontId="13" fillId="0" borderId="4" xfId="0" applyFont="1" applyBorder="1" applyAlignment="1">
      <alignment horizontal="center"/>
    </xf>
    <xf numFmtId="0" fontId="13" fillId="0" borderId="5" xfId="0" applyFont="1" applyBorder="1" applyAlignment="1">
      <alignment horizontal="center" wrapText="1"/>
    </xf>
    <xf numFmtId="0" fontId="13" fillId="0" borderId="6" xfId="0" applyFont="1" applyBorder="1" applyAlignment="1">
      <alignment horizontal="center"/>
    </xf>
    <xf numFmtId="0" fontId="13" fillId="0" borderId="5" xfId="0" applyFont="1" applyBorder="1" applyAlignment="1">
      <alignment horizontal="center"/>
    </xf>
    <xf numFmtId="0" fontId="13" fillId="0" borderId="7" xfId="0" applyFont="1" applyBorder="1" applyAlignment="1">
      <alignment horizontal="right"/>
    </xf>
    <xf numFmtId="166" fontId="13" fillId="0" borderId="8" xfId="0" applyNumberFormat="1" applyFont="1" applyBorder="1" applyAlignment="1">
      <alignment horizontal="right"/>
    </xf>
    <xf numFmtId="165" fontId="13" fillId="0" borderId="0" xfId="1" applyNumberFormat="1" applyFont="1" applyBorder="1" applyAlignment="1" applyProtection="1">
      <alignment horizontal="right"/>
    </xf>
    <xf numFmtId="166" fontId="13" fillId="0" borderId="9" xfId="0" applyNumberFormat="1" applyFont="1" applyBorder="1" applyAlignment="1">
      <alignment horizontal="center"/>
    </xf>
    <xf numFmtId="0" fontId="13" fillId="0" borderId="8" xfId="0" applyFont="1" applyBorder="1" applyAlignment="1">
      <alignment horizontal="center"/>
    </xf>
    <xf numFmtId="0" fontId="13" fillId="0" borderId="10" xfId="0" applyFont="1" applyBorder="1" applyAlignment="1">
      <alignment horizontal="center" wrapText="1"/>
    </xf>
    <xf numFmtId="0" fontId="13" fillId="0" borderId="7" xfId="0" applyFont="1" applyBorder="1" applyAlignment="1">
      <alignment horizontal="center"/>
    </xf>
    <xf numFmtId="0" fontId="13" fillId="0" borderId="10" xfId="0" applyFont="1" applyBorder="1" applyAlignment="1">
      <alignment horizontal="center"/>
    </xf>
    <xf numFmtId="17" fontId="14" fillId="0" borderId="6" xfId="0" quotePrefix="1" applyNumberFormat="1" applyFont="1" applyBorder="1" applyAlignment="1">
      <alignment horizontal="right"/>
    </xf>
    <xf numFmtId="165" fontId="14" fillId="0" borderId="4" xfId="1" applyNumberFormat="1" applyFont="1" applyBorder="1" applyAlignment="1" applyProtection="1">
      <alignment horizontal="right"/>
    </xf>
    <xf numFmtId="165" fontId="14" fillId="0" borderId="5" xfId="1" applyNumberFormat="1" applyFont="1" applyBorder="1" applyAlignment="1" applyProtection="1">
      <alignment horizontal="right"/>
    </xf>
    <xf numFmtId="44" fontId="14" fillId="0" borderId="11" xfId="2" applyFont="1" applyBorder="1" applyAlignment="1" applyProtection="1">
      <alignment horizontal="right"/>
    </xf>
    <xf numFmtId="44" fontId="14" fillId="0" borderId="6" xfId="2" applyFont="1" applyBorder="1" applyAlignment="1" applyProtection="1">
      <alignment horizontal="right"/>
    </xf>
    <xf numFmtId="44" fontId="14" fillId="0" borderId="4" xfId="2" applyFont="1" applyBorder="1" applyAlignment="1" applyProtection="1">
      <alignment horizontal="center"/>
    </xf>
    <xf numFmtId="44" fontId="14" fillId="0" borderId="4" xfId="2" applyFont="1" applyBorder="1" applyProtection="1"/>
    <xf numFmtId="165" fontId="14" fillId="0" borderId="5" xfId="1" applyNumberFormat="1" applyFont="1" applyBorder="1" applyAlignment="1" applyProtection="1">
      <alignment horizontal="center" wrapText="1"/>
    </xf>
    <xf numFmtId="44" fontId="14" fillId="0" borderId="6" xfId="2" applyFont="1" applyBorder="1" applyProtection="1"/>
    <xf numFmtId="10" fontId="14" fillId="0" borderId="5" xfId="3" applyNumberFormat="1" applyFont="1" applyBorder="1" applyProtection="1"/>
    <xf numFmtId="165" fontId="14" fillId="0" borderId="0" xfId="0" applyNumberFormat="1" applyFont="1"/>
    <xf numFmtId="17" fontId="14" fillId="0" borderId="2" xfId="0" applyNumberFormat="1" applyFont="1" applyBorder="1" applyAlignment="1">
      <alignment horizontal="right"/>
    </xf>
    <xf numFmtId="165" fontId="14" fillId="0" borderId="0" xfId="1" applyNumberFormat="1" applyFont="1" applyBorder="1" applyAlignment="1" applyProtection="1">
      <alignment horizontal="right"/>
    </xf>
    <xf numFmtId="165" fontId="14" fillId="0" borderId="12" xfId="1" applyNumberFormat="1" applyFont="1" applyBorder="1" applyAlignment="1" applyProtection="1">
      <alignment horizontal="right"/>
    </xf>
    <xf numFmtId="44" fontId="14" fillId="0" borderId="3" xfId="2" applyFont="1" applyBorder="1" applyAlignment="1" applyProtection="1">
      <alignment horizontal="right"/>
    </xf>
    <xf numFmtId="44" fontId="14" fillId="0" borderId="2" xfId="2" applyFont="1" applyBorder="1" applyAlignment="1" applyProtection="1">
      <alignment horizontal="right"/>
    </xf>
    <xf numFmtId="44" fontId="14" fillId="0" borderId="0" xfId="2" applyFont="1" applyBorder="1" applyAlignment="1" applyProtection="1">
      <alignment horizontal="right"/>
    </xf>
    <xf numFmtId="165" fontId="14" fillId="0" borderId="0" xfId="1" applyNumberFormat="1" applyFont="1" applyProtection="1"/>
    <xf numFmtId="165" fontId="14" fillId="0" borderId="8" xfId="1" applyNumberFormat="1" applyFont="1" applyBorder="1" applyAlignment="1" applyProtection="1">
      <alignment horizontal="right"/>
    </xf>
    <xf numFmtId="165" fontId="14" fillId="0" borderId="10" xfId="1" applyNumberFormat="1" applyFont="1" applyBorder="1" applyAlignment="1" applyProtection="1">
      <alignment horizontal="right"/>
    </xf>
    <xf numFmtId="44" fontId="14" fillId="0" borderId="9" xfId="2" applyFont="1" applyBorder="1" applyAlignment="1" applyProtection="1">
      <alignment horizontal="right"/>
    </xf>
    <xf numFmtId="44" fontId="14" fillId="0" borderId="7" xfId="2" applyFont="1" applyBorder="1" applyAlignment="1" applyProtection="1">
      <alignment horizontal="right"/>
    </xf>
    <xf numFmtId="44" fontId="14" fillId="0" borderId="8" xfId="2" applyFont="1" applyBorder="1" applyAlignment="1" applyProtection="1">
      <alignment horizontal="center"/>
    </xf>
    <xf numFmtId="44" fontId="14" fillId="0" borderId="8" xfId="2" applyFont="1" applyBorder="1" applyProtection="1"/>
    <xf numFmtId="165" fontId="14" fillId="0" borderId="10" xfId="1" applyNumberFormat="1" applyFont="1" applyBorder="1" applyAlignment="1" applyProtection="1">
      <alignment horizontal="center" wrapText="1"/>
    </xf>
    <xf numFmtId="44" fontId="14" fillId="0" borderId="7" xfId="2" applyFont="1" applyBorder="1" applyProtection="1"/>
    <xf numFmtId="10" fontId="14" fillId="0" borderId="10" xfId="3" applyNumberFormat="1" applyFont="1" applyBorder="1" applyAlignment="1" applyProtection="1">
      <alignment horizontal="center"/>
    </xf>
    <xf numFmtId="0" fontId="13" fillId="0" borderId="13" xfId="0" applyFont="1" applyBorder="1" applyAlignment="1">
      <alignment horizontal="right"/>
    </xf>
    <xf numFmtId="165" fontId="13" fillId="0" borderId="14" xfId="1" applyNumberFormat="1" applyFont="1" applyBorder="1" applyAlignment="1" applyProtection="1">
      <alignment horizontal="right"/>
    </xf>
    <xf numFmtId="44" fontId="13" fillId="0" borderId="13" xfId="2" applyFont="1" applyBorder="1" applyProtection="1"/>
    <xf numFmtId="44" fontId="13" fillId="0" borderId="14" xfId="2" applyFont="1" applyBorder="1" applyProtection="1"/>
    <xf numFmtId="44" fontId="13" fillId="0" borderId="14" xfId="2" applyFont="1" applyBorder="1" applyAlignment="1" applyProtection="1">
      <alignment horizontal="right"/>
    </xf>
    <xf numFmtId="165" fontId="13" fillId="0" borderId="15" xfId="1" applyNumberFormat="1" applyFont="1" applyBorder="1" applyAlignment="1" applyProtection="1">
      <alignment horizontal="center" wrapText="1"/>
    </xf>
    <xf numFmtId="0" fontId="13" fillId="0" borderId="0" xfId="0" applyFont="1"/>
    <xf numFmtId="0" fontId="14" fillId="0" borderId="0" xfId="0" applyFont="1" applyAlignment="1">
      <alignment horizontal="center"/>
    </xf>
    <xf numFmtId="0" fontId="14" fillId="0" borderId="0" xfId="0" applyFont="1" applyAlignment="1">
      <alignment horizontal="center" wrapText="1"/>
    </xf>
    <xf numFmtId="0" fontId="13" fillId="0" borderId="0" xfId="0" applyFont="1" applyAlignment="1">
      <alignment horizontal="center"/>
    </xf>
    <xf numFmtId="0" fontId="14" fillId="0" borderId="16" xfId="0" applyFont="1" applyBorder="1"/>
    <xf numFmtId="0" fontId="14" fillId="0" borderId="17" xfId="0" applyFont="1" applyBorder="1" applyAlignment="1">
      <alignment horizontal="center"/>
    </xf>
    <xf numFmtId="0" fontId="14" fillId="0" borderId="17" xfId="0" applyFont="1" applyBorder="1" applyAlignment="1">
      <alignment horizontal="right"/>
    </xf>
    <xf numFmtId="167" fontId="14" fillId="0" borderId="17" xfId="0" applyNumberFormat="1" applyFont="1" applyBorder="1" applyAlignment="1">
      <alignment horizontal="center"/>
    </xf>
    <xf numFmtId="167" fontId="14" fillId="0" borderId="0" xfId="0" applyNumberFormat="1" applyFont="1" applyAlignment="1">
      <alignment horizontal="center"/>
    </xf>
    <xf numFmtId="165" fontId="14" fillId="0" borderId="17" xfId="1" applyNumberFormat="1" applyFont="1" applyBorder="1" applyAlignment="1" applyProtection="1">
      <alignment horizontal="right"/>
    </xf>
    <xf numFmtId="0" fontId="14" fillId="0" borderId="17" xfId="0" applyFont="1" applyBorder="1" applyAlignment="1">
      <alignment horizontal="right" wrapText="1"/>
    </xf>
    <xf numFmtId="167" fontId="14" fillId="0" borderId="0" xfId="0" applyNumberFormat="1" applyFont="1" applyAlignment="1">
      <alignment horizontal="right"/>
    </xf>
    <xf numFmtId="0" fontId="14" fillId="0" borderId="0" xfId="0" applyFont="1" applyAlignment="1">
      <alignment horizontal="left"/>
    </xf>
    <xf numFmtId="8" fontId="14" fillId="0" borderId="0" xfId="0" applyNumberFormat="1" applyFont="1"/>
    <xf numFmtId="3" fontId="14" fillId="0" borderId="0" xfId="0" applyNumberFormat="1" applyFont="1" applyAlignment="1">
      <alignment horizontal="left"/>
    </xf>
    <xf numFmtId="10" fontId="13" fillId="0" borderId="15" xfId="0" applyNumberFormat="1" applyFont="1" applyBorder="1" applyAlignment="1">
      <alignment horizontal="right"/>
    </xf>
    <xf numFmtId="0" fontId="14" fillId="0" borderId="17" xfId="0" applyFont="1" applyBorder="1" applyAlignment="1">
      <alignment horizontal="right" vertical="top" wrapText="1"/>
    </xf>
    <xf numFmtId="10" fontId="14" fillId="0" borderId="12" xfId="3" applyNumberFormat="1" applyFont="1" applyBorder="1" applyAlignment="1" applyProtection="1">
      <alignment horizontal="right"/>
    </xf>
    <xf numFmtId="44" fontId="14" fillId="0" borderId="17" xfId="2" applyFont="1" applyBorder="1" applyProtection="1"/>
    <xf numFmtId="43" fontId="14" fillId="0" borderId="17" xfId="1" applyFont="1" applyBorder="1" applyProtection="1"/>
    <xf numFmtId="10" fontId="14" fillId="0" borderId="17" xfId="0" applyNumberFormat="1" applyFont="1" applyBorder="1"/>
    <xf numFmtId="44" fontId="17" fillId="0" borderId="17" xfId="2" applyFont="1" applyBorder="1" applyProtection="1"/>
    <xf numFmtId="0" fontId="17" fillId="0" borderId="17" xfId="2" applyNumberFormat="1" applyFont="1" applyBorder="1" applyAlignment="1" applyProtection="1">
      <alignment horizontal="right"/>
    </xf>
    <xf numFmtId="10" fontId="17" fillId="0" borderId="17" xfId="2" applyNumberFormat="1" applyFont="1" applyBorder="1" applyAlignment="1" applyProtection="1">
      <alignment horizontal="right"/>
    </xf>
    <xf numFmtId="8" fontId="17" fillId="0" borderId="17" xfId="2" applyNumberFormat="1" applyFont="1" applyBorder="1" applyProtection="1"/>
    <xf numFmtId="10" fontId="18" fillId="0" borderId="12" xfId="3" applyNumberFormat="1" applyFont="1" applyBorder="1" applyAlignment="1" applyProtection="1">
      <alignment horizontal="right"/>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2" fontId="13" fillId="0" borderId="13" xfId="0" applyNumberFormat="1" applyFont="1" applyBorder="1" applyAlignment="1">
      <alignment horizontal="center" vertical="center"/>
    </xf>
    <xf numFmtId="2" fontId="13" fillId="0" borderId="14" xfId="0" applyNumberFormat="1" applyFont="1" applyBorder="1" applyAlignment="1">
      <alignment horizontal="center" vertical="center"/>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13" xfId="0" applyFont="1" applyBorder="1" applyAlignment="1">
      <alignment horizontal="center" vertic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20" xfId="0" applyFont="1" applyBorder="1" applyAlignment="1">
      <alignment horizontal="center"/>
    </xf>
    <xf numFmtId="0" fontId="13" fillId="0" borderId="16" xfId="0" applyFont="1" applyBorder="1" applyAlignment="1">
      <alignment horizontal="center"/>
    </xf>
    <xf numFmtId="0" fontId="14" fillId="0" borderId="21" xfId="0" applyFont="1" applyBorder="1" applyAlignment="1">
      <alignment horizontal="center"/>
    </xf>
    <xf numFmtId="0" fontId="14" fillId="0" borderId="22" xfId="0" applyFont="1" applyBorder="1" applyAlignment="1">
      <alignment horizontal="center"/>
    </xf>
    <xf numFmtId="0" fontId="14" fillId="0" borderId="16" xfId="0" applyFont="1" applyBorder="1" applyAlignment="1">
      <alignment horizontal="center"/>
    </xf>
    <xf numFmtId="0" fontId="14" fillId="0" borderId="16" xfId="0" applyFont="1" applyBorder="1" applyAlignment="1">
      <alignment horizontal="right"/>
    </xf>
    <xf numFmtId="0" fontId="14" fillId="0" borderId="21" xfId="0" applyFont="1" applyBorder="1" applyAlignment="1">
      <alignment horizontal="right"/>
    </xf>
    <xf numFmtId="0" fontId="14" fillId="0" borderId="22" xfId="0" applyFont="1" applyBorder="1" applyAlignment="1">
      <alignment horizontal="right"/>
    </xf>
    <xf numFmtId="167" fontId="14" fillId="0" borderId="21" xfId="0" applyNumberFormat="1" applyFont="1" applyBorder="1" applyAlignment="1">
      <alignment horizontal="center"/>
    </xf>
    <xf numFmtId="167" fontId="14" fillId="0" borderId="22" xfId="0" applyNumberFormat="1" applyFont="1" applyBorder="1" applyAlignment="1">
      <alignment horizontal="center"/>
    </xf>
    <xf numFmtId="167" fontId="14" fillId="0" borderId="16" xfId="0" applyNumberFormat="1" applyFont="1" applyBorder="1" applyAlignment="1">
      <alignment horizontal="center"/>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0" xfId="0" applyFont="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30" xfId="0" applyFont="1" applyBorder="1" applyAlignment="1">
      <alignment horizontal="center" vertical="center" wrapText="1"/>
    </xf>
    <xf numFmtId="0" fontId="16" fillId="0" borderId="16" xfId="0" applyFont="1" applyBorder="1" applyAlignment="1">
      <alignment horizontal="right"/>
    </xf>
    <xf numFmtId="0" fontId="16" fillId="0" borderId="21" xfId="0" applyFont="1" applyBorder="1" applyAlignment="1">
      <alignment horizontal="right"/>
    </xf>
    <xf numFmtId="0" fontId="16" fillId="0" borderId="22" xfId="0" applyFont="1" applyBorder="1" applyAlignment="1">
      <alignment horizontal="right"/>
    </xf>
    <xf numFmtId="0" fontId="16" fillId="0" borderId="16" xfId="0" applyFont="1" applyBorder="1" applyAlignment="1">
      <alignment horizontal="center"/>
    </xf>
    <xf numFmtId="0" fontId="17" fillId="0" borderId="21" xfId="0" applyFont="1" applyBorder="1" applyAlignment="1">
      <alignment horizontal="center"/>
    </xf>
    <xf numFmtId="0" fontId="17" fillId="0" borderId="22" xfId="0" applyFont="1" applyBorder="1" applyAlignment="1">
      <alignment horizontal="center"/>
    </xf>
    <xf numFmtId="0" fontId="17" fillId="0" borderId="16" xfId="0" applyFont="1" applyBorder="1" applyAlignment="1">
      <alignment horizontal="right"/>
    </xf>
    <xf numFmtId="0" fontId="17" fillId="0" borderId="21" xfId="0" applyFont="1" applyBorder="1" applyAlignment="1">
      <alignment horizontal="right"/>
    </xf>
    <xf numFmtId="0" fontId="17" fillId="0" borderId="22" xfId="0" applyFont="1" applyBorder="1" applyAlignment="1">
      <alignment horizontal="right"/>
    </xf>
    <xf numFmtId="3" fontId="14" fillId="0" borderId="2" xfId="0" applyNumberFormat="1" applyFont="1" applyBorder="1" applyAlignment="1">
      <alignment horizontal="left"/>
    </xf>
    <xf numFmtId="3" fontId="14" fillId="0" borderId="0" xfId="0" applyNumberFormat="1" applyFont="1" applyAlignment="1">
      <alignment horizontal="left"/>
    </xf>
    <xf numFmtId="3" fontId="14" fillId="0" borderId="12" xfId="0" applyNumberFormat="1" applyFont="1" applyBorder="1" applyAlignment="1">
      <alignment horizontal="left"/>
    </xf>
    <xf numFmtId="3" fontId="14" fillId="0" borderId="7" xfId="0" applyNumberFormat="1" applyFont="1" applyBorder="1" applyAlignment="1">
      <alignment horizontal="left"/>
    </xf>
    <xf numFmtId="3" fontId="14" fillId="0" borderId="8" xfId="0" applyNumberFormat="1" applyFont="1" applyBorder="1" applyAlignment="1">
      <alignment horizontal="left"/>
    </xf>
    <xf numFmtId="3" fontId="14" fillId="0" borderId="10" xfId="0" applyNumberFormat="1" applyFont="1" applyBorder="1" applyAlignment="1">
      <alignment horizontal="left"/>
    </xf>
    <xf numFmtId="0" fontId="13" fillId="0" borderId="11" xfId="0" applyFont="1" applyBorder="1" applyAlignment="1">
      <alignment horizontal="center"/>
    </xf>
    <xf numFmtId="3" fontId="14" fillId="0" borderId="6" xfId="0" applyNumberFormat="1" applyFont="1" applyBorder="1" applyAlignment="1">
      <alignment horizontal="left"/>
    </xf>
    <xf numFmtId="3" fontId="14" fillId="0" borderId="4" xfId="0" applyNumberFormat="1" applyFont="1" applyBorder="1" applyAlignment="1">
      <alignment horizontal="left"/>
    </xf>
    <xf numFmtId="3" fontId="14" fillId="0" borderId="5" xfId="0" applyNumberFormat="1" applyFont="1" applyBorder="1" applyAlignment="1">
      <alignment horizontal="left"/>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495300</xdr:colOff>
      <xdr:row>3</xdr:row>
      <xdr:rowOff>111125</xdr:rowOff>
    </xdr:to>
    <xdr:pic>
      <xdr:nvPicPr>
        <xdr:cNvPr id="3123" name="Picture 1">
          <a:extLst>
            <a:ext uri="{FF2B5EF4-FFF2-40B4-BE49-F238E27FC236}">
              <a16:creationId xmlns:a16="http://schemas.microsoft.com/office/drawing/2014/main" id="{00000000-0008-0000-0000-000033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
  <sheetViews>
    <sheetView tabSelected="1" workbookViewId="0">
      <selection activeCell="J18" sqref="J18"/>
    </sheetView>
  </sheetViews>
  <sheetFormatPr defaultColWidth="9.140625" defaultRowHeight="10.15" customHeight="1" x14ac:dyDescent="0.2"/>
  <cols>
    <col min="1" max="1" width="5" style="16" customWidth="1"/>
    <col min="2" max="2" width="16.28515625" style="16" bestFit="1" customWidth="1"/>
    <col min="3" max="4" width="8.7109375" style="16" customWidth="1"/>
    <col min="5" max="5" width="14.85546875" style="16" bestFit="1" customWidth="1"/>
    <col min="6"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98" t="s">
        <v>43</v>
      </c>
      <c r="C1" s="98"/>
      <c r="D1" s="98"/>
      <c r="E1" s="98"/>
      <c r="F1" s="98"/>
      <c r="G1" s="98"/>
      <c r="H1" s="98"/>
      <c r="I1" s="98"/>
      <c r="J1" s="98"/>
      <c r="K1" s="98"/>
      <c r="L1" s="98"/>
      <c r="M1" s="98"/>
      <c r="N1" s="98"/>
    </row>
    <row r="2" spans="2:26" s="1" customFormat="1" ht="20.25" customHeight="1" x14ac:dyDescent="0.25">
      <c r="B2" s="99" t="s">
        <v>41</v>
      </c>
      <c r="C2" s="99"/>
      <c r="D2" s="99"/>
      <c r="E2" s="99"/>
      <c r="F2" s="99"/>
      <c r="G2" s="99"/>
      <c r="H2" s="99"/>
      <c r="I2" s="99"/>
      <c r="J2" s="99"/>
      <c r="K2" s="99"/>
      <c r="L2" s="99"/>
      <c r="M2" s="99"/>
      <c r="N2" s="99"/>
      <c r="O2" s="2"/>
      <c r="P2" s="2"/>
      <c r="Q2" s="3"/>
      <c r="R2" s="2"/>
      <c r="S2" s="2"/>
      <c r="T2" s="2"/>
      <c r="U2" s="2"/>
      <c r="V2" s="2"/>
      <c r="W2" s="2"/>
      <c r="X2" s="2"/>
      <c r="Y2" s="2"/>
      <c r="Z2" s="2"/>
    </row>
    <row r="3" spans="2:26" s="1" customFormat="1" ht="20.25" customHeight="1" x14ac:dyDescent="0.25">
      <c r="G3" s="4" t="s">
        <v>0</v>
      </c>
      <c r="H3" s="5">
        <v>46023</v>
      </c>
      <c r="I3" s="20"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00" t="s">
        <v>2</v>
      </c>
      <c r="C5" s="100"/>
      <c r="D5" s="101" t="s">
        <v>42</v>
      </c>
      <c r="E5" s="101"/>
      <c r="F5" s="101"/>
      <c r="G5" s="101"/>
      <c r="H5" s="14"/>
      <c r="I5" s="15"/>
      <c r="J5" s="15"/>
      <c r="K5" s="100" t="s">
        <v>3</v>
      </c>
      <c r="L5" s="100"/>
      <c r="M5" s="101" t="s">
        <v>45</v>
      </c>
      <c r="N5" s="101"/>
    </row>
    <row r="6" spans="2:26" s="1" customFormat="1" ht="20.25" customHeight="1" x14ac:dyDescent="0.25">
      <c r="B6" s="100" t="s">
        <v>4</v>
      </c>
      <c r="C6" s="100"/>
      <c r="D6" s="101" t="s">
        <v>44</v>
      </c>
      <c r="E6" s="101"/>
      <c r="F6" s="101"/>
      <c r="G6" s="101"/>
      <c r="H6" s="14"/>
      <c r="I6" s="11"/>
      <c r="J6" s="11"/>
      <c r="K6" s="100" t="s">
        <v>5</v>
      </c>
      <c r="L6" s="100"/>
      <c r="M6" s="101" t="s">
        <v>46</v>
      </c>
      <c r="N6" s="101"/>
    </row>
    <row r="7" spans="2:26" ht="21" customHeight="1" thickBot="1" x14ac:dyDescent="0.25">
      <c r="C7" s="17"/>
      <c r="D7" s="17"/>
      <c r="E7" s="17"/>
    </row>
    <row r="8" spans="2:26" s="22" customFormat="1" ht="15.75" customHeight="1" thickBot="1" x14ac:dyDescent="0.25">
      <c r="B8" s="102" t="s">
        <v>6</v>
      </c>
      <c r="C8" s="103"/>
      <c r="D8" s="103"/>
      <c r="E8" s="103"/>
      <c r="F8" s="103"/>
      <c r="G8" s="103"/>
      <c r="H8" s="21" t="s">
        <v>7</v>
      </c>
      <c r="I8" s="104" t="s">
        <v>8</v>
      </c>
      <c r="J8" s="104"/>
      <c r="K8" s="104"/>
      <c r="L8" s="105"/>
      <c r="M8" s="106" t="s">
        <v>9</v>
      </c>
      <c r="N8" s="10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49</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28</v>
      </c>
      <c r="D12" s="51">
        <f>11+3</f>
        <v>14</v>
      </c>
      <c r="E12" s="51">
        <f>1</f>
        <v>1</v>
      </c>
      <c r="F12" s="51">
        <v>44</v>
      </c>
      <c r="G12" s="52">
        <f>SUM(C12:F12)</f>
        <v>87</v>
      </c>
      <c r="H12" s="53">
        <f>(C12*$E$29)+(D12*$E$30)+(E12*$E$31)+(F12*$E$32)</f>
        <v>495.9</v>
      </c>
      <c r="I12" s="54">
        <f>(C12*$C$29)+(D12*$C$30)+(E12*$C$31)+(F12*$C$32)</f>
        <v>12283.68</v>
      </c>
      <c r="J12" s="55">
        <v>0</v>
      </c>
      <c r="K12" s="55">
        <v>0</v>
      </c>
      <c r="L12" s="52">
        <v>0</v>
      </c>
      <c r="M12" s="54">
        <f>I12-K12</f>
        <v>12283.68</v>
      </c>
      <c r="N12" s="89">
        <f>K12/I12</f>
        <v>0</v>
      </c>
      <c r="Q12" s="49"/>
      <c r="R12" s="49"/>
    </row>
    <row r="13" spans="2:26" s="22" customFormat="1" ht="15.75" customHeight="1" x14ac:dyDescent="0.2">
      <c r="B13" s="50">
        <v>46054</v>
      </c>
      <c r="C13" s="51">
        <v>27</v>
      </c>
      <c r="D13" s="51">
        <f>11+3</f>
        <v>14</v>
      </c>
      <c r="E13" s="51">
        <v>1</v>
      </c>
      <c r="F13" s="51">
        <v>44</v>
      </c>
      <c r="G13" s="52">
        <f t="shared" ref="G13:G23" si="0">SUM(C13:F13)</f>
        <v>86</v>
      </c>
      <c r="H13" s="53">
        <f t="shared" ref="H13:H23" si="1">(C13*$E$29)+(D13*$E$30)+(E13*$E$31)+(F13*$E$32)</f>
        <v>490.2</v>
      </c>
      <c r="I13" s="54">
        <f t="shared" ref="I13:I23" si="2">(C13*$C$29)+(D13*$C$30)+(E13*$C$31)+(F13*$C$32)</f>
        <v>12249.54</v>
      </c>
      <c r="J13" s="55">
        <v>20910.740000000002</v>
      </c>
      <c r="K13" s="55">
        <v>9492.4699999999993</v>
      </c>
      <c r="L13" s="52">
        <v>38</v>
      </c>
      <c r="M13" s="54">
        <f t="shared" ref="M13:M23" si="3">I13-K13</f>
        <v>2757.0700000000015</v>
      </c>
      <c r="N13" s="89">
        <f t="shared" ref="N13:N17" si="4">K13/I13</f>
        <v>0.7749246094139044</v>
      </c>
      <c r="Q13" s="56"/>
      <c r="R13" s="49"/>
    </row>
    <row r="14" spans="2:26" s="22" customFormat="1" ht="15.75" customHeight="1" x14ac:dyDescent="0.2">
      <c r="B14" s="50">
        <v>46082</v>
      </c>
      <c r="C14" s="51">
        <v>27</v>
      </c>
      <c r="D14" s="51">
        <f>11+3</f>
        <v>14</v>
      </c>
      <c r="E14" s="51">
        <v>2</v>
      </c>
      <c r="F14" s="51">
        <v>44</v>
      </c>
      <c r="G14" s="52">
        <f t="shared" si="0"/>
        <v>87</v>
      </c>
      <c r="H14" s="53">
        <f t="shared" si="1"/>
        <v>495.9</v>
      </c>
      <c r="I14" s="54">
        <f t="shared" si="2"/>
        <v>12352.98</v>
      </c>
      <c r="J14" s="55">
        <v>41105.440000000002</v>
      </c>
      <c r="K14" s="55">
        <v>15011.43</v>
      </c>
      <c r="L14" s="52">
        <v>66</v>
      </c>
      <c r="M14" s="54">
        <f t="shared" si="3"/>
        <v>-2658.4500000000007</v>
      </c>
      <c r="N14" s="89">
        <f t="shared" si="4"/>
        <v>1.2152071807774318</v>
      </c>
      <c r="Q14" s="56"/>
      <c r="R14" s="49"/>
    </row>
    <row r="15" spans="2:26" s="22" customFormat="1" ht="15.75" customHeight="1" x14ac:dyDescent="0.2">
      <c r="B15" s="50">
        <v>46113</v>
      </c>
      <c r="C15" s="51">
        <v>27</v>
      </c>
      <c r="D15" s="51">
        <v>14</v>
      </c>
      <c r="E15" s="51">
        <v>2</v>
      </c>
      <c r="F15" s="51">
        <v>44</v>
      </c>
      <c r="G15" s="52">
        <f t="shared" si="0"/>
        <v>87</v>
      </c>
      <c r="H15" s="53">
        <f t="shared" si="1"/>
        <v>495.9</v>
      </c>
      <c r="I15" s="54">
        <f t="shared" si="2"/>
        <v>12352.98</v>
      </c>
      <c r="J15" s="55">
        <v>40802.870000000003</v>
      </c>
      <c r="K15" s="55">
        <v>18326.43</v>
      </c>
      <c r="L15" s="52">
        <v>88</v>
      </c>
      <c r="M15" s="54">
        <f t="shared" si="3"/>
        <v>-5973.4500000000007</v>
      </c>
      <c r="N15" s="89">
        <f t="shared" si="4"/>
        <v>1.4835634802290623</v>
      </c>
      <c r="Q15" s="56"/>
      <c r="R15" s="49"/>
    </row>
    <row r="16" spans="2:26" s="22" customFormat="1" ht="15.75" customHeight="1" x14ac:dyDescent="0.2">
      <c r="B16" s="50">
        <v>46143</v>
      </c>
      <c r="C16" s="51">
        <v>29</v>
      </c>
      <c r="D16" s="51">
        <v>11</v>
      </c>
      <c r="E16" s="51">
        <v>3</v>
      </c>
      <c r="F16" s="51">
        <v>44</v>
      </c>
      <c r="G16" s="52">
        <f t="shared" si="0"/>
        <v>87</v>
      </c>
      <c r="H16" s="53">
        <f t="shared" si="1"/>
        <v>495.9</v>
      </c>
      <c r="I16" s="54">
        <f t="shared" si="2"/>
        <v>12302.58</v>
      </c>
      <c r="J16" s="55">
        <v>37581.78</v>
      </c>
      <c r="K16" s="55">
        <v>11951.37</v>
      </c>
      <c r="L16" s="52">
        <v>63</v>
      </c>
      <c r="M16" s="54">
        <f t="shared" si="3"/>
        <v>351.20999999999913</v>
      </c>
      <c r="N16" s="89">
        <f t="shared" si="4"/>
        <v>0.97145232951137084</v>
      </c>
      <c r="Q16" s="56"/>
      <c r="R16" s="49"/>
    </row>
    <row r="17" spans="2:18" s="22" customFormat="1" ht="15.75" customHeight="1" x14ac:dyDescent="0.2">
      <c r="B17" s="50">
        <v>46174</v>
      </c>
      <c r="C17" s="51">
        <v>28</v>
      </c>
      <c r="D17" s="51">
        <v>10</v>
      </c>
      <c r="E17" s="51">
        <v>4</v>
      </c>
      <c r="F17" s="51">
        <v>44</v>
      </c>
      <c r="G17" s="52">
        <f t="shared" si="0"/>
        <v>86</v>
      </c>
      <c r="H17" s="53">
        <f t="shared" si="1"/>
        <v>490.20000000000005</v>
      </c>
      <c r="I17" s="54">
        <f t="shared" si="2"/>
        <v>12297.84</v>
      </c>
      <c r="J17" s="55">
        <v>25407.29</v>
      </c>
      <c r="K17" s="55">
        <v>11070.09</v>
      </c>
      <c r="L17" s="52">
        <v>48</v>
      </c>
      <c r="M17" s="54">
        <f t="shared" si="3"/>
        <v>1227.75</v>
      </c>
      <c r="N17" s="89">
        <f t="shared" si="4"/>
        <v>0.90016539489861636</v>
      </c>
      <c r="Q17" s="56"/>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89"/>
      <c r="Q18" s="56"/>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89"/>
      <c r="Q19" s="56"/>
      <c r="R19" s="49"/>
    </row>
    <row r="20" spans="2:18" s="22" customFormat="1" ht="15.75" customHeight="1" x14ac:dyDescent="0.2">
      <c r="B20" s="50">
        <v>46266</v>
      </c>
      <c r="C20" s="51"/>
      <c r="D20" s="51"/>
      <c r="E20" s="51"/>
      <c r="F20" s="51"/>
      <c r="G20" s="52">
        <f t="shared" si="0"/>
        <v>0</v>
      </c>
      <c r="H20" s="53">
        <f t="shared" si="1"/>
        <v>0</v>
      </c>
      <c r="I20" s="54">
        <f t="shared" si="2"/>
        <v>0</v>
      </c>
      <c r="J20" s="55"/>
      <c r="K20" s="55"/>
      <c r="L20" s="52"/>
      <c r="M20" s="54">
        <f t="shared" si="3"/>
        <v>0</v>
      </c>
      <c r="N20" s="89"/>
      <c r="Q20" s="56"/>
      <c r="R20" s="49"/>
    </row>
    <row r="21" spans="2:18" s="22" customFormat="1" ht="15.75" customHeight="1" x14ac:dyDescent="0.2">
      <c r="B21" s="50">
        <v>46296</v>
      </c>
      <c r="C21" s="51"/>
      <c r="D21" s="51"/>
      <c r="E21" s="51"/>
      <c r="F21" s="51"/>
      <c r="G21" s="52">
        <f t="shared" si="0"/>
        <v>0</v>
      </c>
      <c r="H21" s="53">
        <f t="shared" si="1"/>
        <v>0</v>
      </c>
      <c r="I21" s="54">
        <f t="shared" si="2"/>
        <v>0</v>
      </c>
      <c r="J21" s="55"/>
      <c r="K21" s="55"/>
      <c r="L21" s="52"/>
      <c r="M21" s="54">
        <f t="shared" si="3"/>
        <v>0</v>
      </c>
      <c r="N21" s="97"/>
      <c r="Q21" s="56"/>
      <c r="R21" s="49"/>
    </row>
    <row r="22" spans="2:18" s="22" customFormat="1" ht="15.75" customHeight="1" x14ac:dyDescent="0.2">
      <c r="B22" s="50">
        <v>46327</v>
      </c>
      <c r="C22" s="51"/>
      <c r="D22" s="51"/>
      <c r="E22" s="51"/>
      <c r="F22" s="51"/>
      <c r="G22" s="52">
        <f t="shared" si="0"/>
        <v>0</v>
      </c>
      <c r="H22" s="53">
        <f t="shared" si="1"/>
        <v>0</v>
      </c>
      <c r="I22" s="54">
        <f t="shared" si="2"/>
        <v>0</v>
      </c>
      <c r="J22" s="55"/>
      <c r="K22" s="55"/>
      <c r="L22" s="52"/>
      <c r="M22" s="54">
        <f t="shared" si="3"/>
        <v>0</v>
      </c>
      <c r="N22" s="89"/>
      <c r="Q22" s="56"/>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97"/>
      <c r="Q23" s="56"/>
      <c r="R23" s="49"/>
    </row>
    <row r="24" spans="2:18" s="22" customFormat="1" ht="15.75" customHeight="1" thickBot="1" x14ac:dyDescent="0.25">
      <c r="B24" s="50"/>
      <c r="C24" s="57"/>
      <c r="D24" s="57"/>
      <c r="E24" s="57"/>
      <c r="F24" s="57"/>
      <c r="G24" s="58"/>
      <c r="H24" s="59"/>
      <c r="I24" s="60"/>
      <c r="J24" s="61"/>
      <c r="K24" s="62"/>
      <c r="L24" s="63"/>
      <c r="M24" s="64"/>
      <c r="N24" s="65"/>
    </row>
    <row r="25" spans="2:18" s="72" customFormat="1" ht="15.75" customHeight="1" thickBot="1" x14ac:dyDescent="0.3">
      <c r="B25" s="66" t="s">
        <v>24</v>
      </c>
      <c r="C25" s="67">
        <f>AVERAGEIF(C12:C23,"&gt;0")</f>
        <v>27.666666666666668</v>
      </c>
      <c r="D25" s="67">
        <f>AVERAGEIF(D12:D23,"&gt;0")</f>
        <v>12.833333333333334</v>
      </c>
      <c r="E25" s="67">
        <f>AVERAGEIF(E12:E23,"&gt;0")</f>
        <v>2.1666666666666665</v>
      </c>
      <c r="F25" s="67">
        <f>AVERAGEIF(F12:F23,"&gt;0")</f>
        <v>44</v>
      </c>
      <c r="G25" s="67">
        <f>AVERAGEIF(G12:G23,"&gt;0")</f>
        <v>86.666666666666671</v>
      </c>
      <c r="H25" s="68">
        <f>SUM(H11:H23)</f>
        <v>2964</v>
      </c>
      <c r="I25" s="68">
        <f>SUM(I11:I23)</f>
        <v>73839.599999999991</v>
      </c>
      <c r="J25" s="69">
        <f>SUM(J11:J23)</f>
        <v>165808.12000000002</v>
      </c>
      <c r="K25" s="70">
        <f>SUM(K11:K23)</f>
        <v>65851.790000000008</v>
      </c>
      <c r="L25" s="71">
        <f>SUM(L12:L23)</f>
        <v>303</v>
      </c>
      <c r="M25" s="68">
        <f>SUM(M12:M23)</f>
        <v>7987.8099999999995</v>
      </c>
      <c r="N25" s="87">
        <f>K25/I25</f>
        <v>0.89182213879815186</v>
      </c>
    </row>
    <row r="26" spans="2:18" s="22" customFormat="1" ht="15.75" customHeight="1" x14ac:dyDescent="0.2">
      <c r="J26" s="73"/>
      <c r="L26" s="74"/>
    </row>
    <row r="27" spans="2:18" s="22" customFormat="1" ht="15.75" customHeight="1" x14ac:dyDescent="0.25">
      <c r="B27" s="107" t="s">
        <v>25</v>
      </c>
      <c r="C27" s="108"/>
      <c r="D27" s="108"/>
      <c r="E27" s="108"/>
      <c r="F27" s="108"/>
      <c r="G27" s="109"/>
      <c r="H27" s="75"/>
      <c r="J27" s="110" t="s">
        <v>26</v>
      </c>
      <c r="K27" s="111"/>
      <c r="L27" s="111"/>
      <c r="M27" s="111"/>
      <c r="N27" s="112"/>
    </row>
    <row r="28" spans="2:18" s="22" customFormat="1" ht="15.75" customHeight="1" x14ac:dyDescent="0.2">
      <c r="B28" s="76"/>
      <c r="C28" s="111" t="s">
        <v>27</v>
      </c>
      <c r="D28" s="112"/>
      <c r="E28" s="113" t="s">
        <v>28</v>
      </c>
      <c r="F28" s="112"/>
      <c r="G28" s="77" t="s">
        <v>16</v>
      </c>
      <c r="H28" s="73"/>
      <c r="J28" s="114" t="s">
        <v>29</v>
      </c>
      <c r="K28" s="115"/>
      <c r="L28" s="115"/>
      <c r="M28" s="116"/>
      <c r="N28" s="90">
        <f>J25/L25</f>
        <v>547.2215181518153</v>
      </c>
    </row>
    <row r="29" spans="2:18" s="22" customFormat="1" ht="15.75" customHeight="1" x14ac:dyDescent="0.2">
      <c r="B29" s="78" t="s">
        <v>30</v>
      </c>
      <c r="C29" s="117">
        <v>34.14</v>
      </c>
      <c r="D29" s="118"/>
      <c r="E29" s="119">
        <v>5.7</v>
      </c>
      <c r="F29" s="118"/>
      <c r="G29" s="79">
        <f>C29+E29</f>
        <v>39.840000000000003</v>
      </c>
      <c r="H29" s="80"/>
      <c r="J29" s="114" t="s">
        <v>31</v>
      </c>
      <c r="K29" s="115"/>
      <c r="L29" s="115"/>
      <c r="M29" s="116"/>
      <c r="N29" s="90">
        <f>K25/L25</f>
        <v>217.33264026402642</v>
      </c>
    </row>
    <row r="30" spans="2:18" s="22" customFormat="1" ht="15.75" customHeight="1" x14ac:dyDescent="0.2">
      <c r="B30" s="81" t="str">
        <f>IF(D10="E+1","EE &amp; One","EE &amp; Spouse")</f>
        <v>EE &amp; One</v>
      </c>
      <c r="C30" s="117">
        <v>74.040000000000006</v>
      </c>
      <c r="D30" s="118"/>
      <c r="E30" s="119">
        <v>5.7</v>
      </c>
      <c r="F30" s="118"/>
      <c r="G30" s="79">
        <f>C30+E30</f>
        <v>79.740000000000009</v>
      </c>
      <c r="H30" s="80"/>
      <c r="J30" s="114" t="s">
        <v>32</v>
      </c>
      <c r="K30" s="115"/>
      <c r="L30" s="115"/>
      <c r="M30" s="116"/>
      <c r="N30" s="91">
        <f>((L25/COUNTIF(G12:G23,"&gt;0"))*12)/G25</f>
        <v>6.9923076923076923</v>
      </c>
    </row>
    <row r="31" spans="2:18" s="22" customFormat="1" ht="30" x14ac:dyDescent="0.2">
      <c r="B31" s="88" t="s">
        <v>51</v>
      </c>
      <c r="C31" s="117">
        <v>103.44</v>
      </c>
      <c r="D31" s="118"/>
      <c r="E31" s="119">
        <v>5.7</v>
      </c>
      <c r="F31" s="118"/>
      <c r="G31" s="79">
        <f>C31+E31</f>
        <v>109.14</v>
      </c>
      <c r="H31" s="80"/>
      <c r="J31" s="114" t="s">
        <v>33</v>
      </c>
      <c r="K31" s="115"/>
      <c r="L31" s="115"/>
      <c r="M31" s="116"/>
      <c r="N31" s="92">
        <f>K25/J25</f>
        <v>0.39715660487556337</v>
      </c>
    </row>
    <row r="32" spans="2:18" s="22" customFormat="1" ht="30" x14ac:dyDescent="0.2">
      <c r="B32" s="82" t="s">
        <v>48</v>
      </c>
      <c r="C32" s="117">
        <v>231.54</v>
      </c>
      <c r="D32" s="118"/>
      <c r="E32" s="119">
        <v>5.7</v>
      </c>
      <c r="F32" s="118"/>
      <c r="G32" s="79">
        <f>C32+E32</f>
        <v>237.23999999999998</v>
      </c>
      <c r="H32" s="80"/>
      <c r="J32" s="114" t="s">
        <v>34</v>
      </c>
      <c r="K32" s="115"/>
      <c r="L32" s="115"/>
      <c r="M32" s="116"/>
      <c r="N32" s="90">
        <f>K25/G25/(COUNTIF(G12:G23,"&gt;0"))</f>
        <v>126.6380576923077</v>
      </c>
    </row>
    <row r="33" spans="2:14" s="22" customFormat="1" ht="15.75" customHeight="1" x14ac:dyDescent="0.2">
      <c r="C33" s="80"/>
      <c r="D33" s="80"/>
      <c r="E33" s="80"/>
      <c r="F33" s="83"/>
      <c r="G33" s="80"/>
      <c r="H33" s="80"/>
      <c r="J33" s="84"/>
      <c r="K33" s="84"/>
      <c r="L33" s="84"/>
      <c r="M33" s="84"/>
      <c r="N33" s="85"/>
    </row>
    <row r="34" spans="2:14" s="22" customFormat="1" ht="15.75" customHeight="1" thickBot="1" x14ac:dyDescent="0.25">
      <c r="J34" s="73"/>
      <c r="L34" s="74"/>
    </row>
    <row r="35" spans="2:14" s="22" customFormat="1" ht="15.75" customHeight="1" thickBot="1" x14ac:dyDescent="0.3">
      <c r="B35" s="144" t="s">
        <v>35</v>
      </c>
      <c r="C35" s="144"/>
      <c r="D35" s="144"/>
      <c r="E35" s="144"/>
      <c r="F35" s="144"/>
      <c r="G35" s="144"/>
      <c r="H35" s="75"/>
      <c r="J35" s="132" t="s">
        <v>39</v>
      </c>
      <c r="K35" s="133"/>
      <c r="L35" s="133"/>
      <c r="M35" s="133"/>
      <c r="N35" s="134"/>
    </row>
    <row r="36" spans="2:14" s="22" customFormat="1" ht="15.75" customHeight="1" x14ac:dyDescent="0.2">
      <c r="B36" s="145" t="s">
        <v>47</v>
      </c>
      <c r="C36" s="146"/>
      <c r="D36" s="146"/>
      <c r="E36" s="146"/>
      <c r="F36" s="146"/>
      <c r="G36" s="147"/>
      <c r="H36" s="86"/>
      <c r="J36" s="135" t="s">
        <v>29</v>
      </c>
      <c r="K36" s="136"/>
      <c r="L36" s="136"/>
      <c r="M36" s="137"/>
      <c r="N36" s="93">
        <v>425.14</v>
      </c>
    </row>
    <row r="37" spans="2:14" s="22" customFormat="1" ht="15.75" customHeight="1" x14ac:dyDescent="0.2">
      <c r="B37" s="138" t="s">
        <v>52</v>
      </c>
      <c r="C37" s="139"/>
      <c r="D37" s="139"/>
      <c r="E37" s="139"/>
      <c r="F37" s="139"/>
      <c r="G37" s="140"/>
      <c r="H37" s="86"/>
      <c r="J37" s="135" t="s">
        <v>31</v>
      </c>
      <c r="K37" s="136"/>
      <c r="L37" s="136"/>
      <c r="M37" s="137"/>
      <c r="N37" s="93">
        <v>243.18</v>
      </c>
    </row>
    <row r="38" spans="2:14" s="22" customFormat="1" ht="15.75" customHeight="1" x14ac:dyDescent="0.2">
      <c r="B38" s="138" t="s">
        <v>36</v>
      </c>
      <c r="C38" s="139"/>
      <c r="D38" s="139"/>
      <c r="E38" s="139"/>
      <c r="F38" s="139"/>
      <c r="G38" s="140"/>
      <c r="H38" s="86"/>
      <c r="J38" s="135" t="s">
        <v>32</v>
      </c>
      <c r="K38" s="136"/>
      <c r="L38" s="136"/>
      <c r="M38" s="137"/>
      <c r="N38" s="94">
        <v>5.4</v>
      </c>
    </row>
    <row r="39" spans="2:14" s="22" customFormat="1" ht="15.75" customHeight="1" x14ac:dyDescent="0.2">
      <c r="B39" s="138" t="s">
        <v>38</v>
      </c>
      <c r="C39" s="139"/>
      <c r="D39" s="139"/>
      <c r="E39" s="139"/>
      <c r="F39" s="139"/>
      <c r="G39" s="140"/>
      <c r="H39" s="86"/>
      <c r="J39" s="135" t="s">
        <v>33</v>
      </c>
      <c r="K39" s="136"/>
      <c r="L39" s="136"/>
      <c r="M39" s="137"/>
      <c r="N39" s="95">
        <v>0.57199999999999995</v>
      </c>
    </row>
    <row r="40" spans="2:14" s="22" customFormat="1" ht="15.75" thickBot="1" x14ac:dyDescent="0.25">
      <c r="B40" s="141" t="s">
        <v>37</v>
      </c>
      <c r="C40" s="142"/>
      <c r="D40" s="142"/>
      <c r="E40" s="142"/>
      <c r="F40" s="142"/>
      <c r="G40" s="143"/>
      <c r="H40" s="86"/>
      <c r="J40" s="135" t="s">
        <v>34</v>
      </c>
      <c r="K40" s="136"/>
      <c r="L40" s="136"/>
      <c r="M40" s="137"/>
      <c r="N40" s="93">
        <v>109.5</v>
      </c>
    </row>
    <row r="41" spans="2:14" s="22" customFormat="1" ht="15.75" x14ac:dyDescent="0.25">
      <c r="J41" s="129" t="s">
        <v>40</v>
      </c>
      <c r="K41" s="130"/>
      <c r="L41" s="130"/>
      <c r="M41" s="131"/>
      <c r="N41" s="96">
        <v>39965.339999999997</v>
      </c>
    </row>
    <row r="42" spans="2:14" s="22" customFormat="1" ht="10.15" customHeight="1" x14ac:dyDescent="0.2">
      <c r="J42" s="73"/>
      <c r="L42" s="74"/>
    </row>
    <row r="43" spans="2:14" s="22" customFormat="1" ht="10.15" customHeight="1" x14ac:dyDescent="0.2">
      <c r="B43" s="120" t="s">
        <v>50</v>
      </c>
      <c r="C43" s="121"/>
      <c r="D43" s="121"/>
      <c r="E43" s="121"/>
      <c r="F43" s="121"/>
      <c r="G43" s="121"/>
      <c r="H43" s="121"/>
      <c r="I43" s="121"/>
      <c r="J43" s="121"/>
      <c r="K43" s="121"/>
      <c r="L43" s="121"/>
      <c r="M43" s="121"/>
      <c r="N43" s="122"/>
    </row>
    <row r="44" spans="2:14" s="22" customFormat="1" ht="10.15" customHeight="1" x14ac:dyDescent="0.2">
      <c r="B44" s="123"/>
      <c r="C44" s="124"/>
      <c r="D44" s="124"/>
      <c r="E44" s="124"/>
      <c r="F44" s="124"/>
      <c r="G44" s="124"/>
      <c r="H44" s="124"/>
      <c r="I44" s="124"/>
      <c r="J44" s="124"/>
      <c r="K44" s="124"/>
      <c r="L44" s="124"/>
      <c r="M44" s="124"/>
      <c r="N44" s="125"/>
    </row>
    <row r="45" spans="2:14" s="22" customFormat="1" ht="10.15" customHeight="1" x14ac:dyDescent="0.2">
      <c r="B45" s="123"/>
      <c r="C45" s="124"/>
      <c r="D45" s="124"/>
      <c r="E45" s="124"/>
      <c r="F45" s="124"/>
      <c r="G45" s="124"/>
      <c r="H45" s="124"/>
      <c r="I45" s="124"/>
      <c r="J45" s="124"/>
      <c r="K45" s="124"/>
      <c r="L45" s="124"/>
      <c r="M45" s="124"/>
      <c r="N45" s="125"/>
    </row>
    <row r="46" spans="2:14" s="22" customFormat="1" ht="10.15" customHeight="1" x14ac:dyDescent="0.2">
      <c r="B46" s="123"/>
      <c r="C46" s="124"/>
      <c r="D46" s="124"/>
      <c r="E46" s="124"/>
      <c r="F46" s="124"/>
      <c r="G46" s="124"/>
      <c r="H46" s="124"/>
      <c r="I46" s="124"/>
      <c r="J46" s="124"/>
      <c r="K46" s="124"/>
      <c r="L46" s="124"/>
      <c r="M46" s="124"/>
      <c r="N46" s="125"/>
    </row>
    <row r="47" spans="2:14" s="22" customFormat="1" ht="10.15" customHeight="1" x14ac:dyDescent="0.2">
      <c r="B47" s="123"/>
      <c r="C47" s="124"/>
      <c r="D47" s="124"/>
      <c r="E47" s="124"/>
      <c r="F47" s="124"/>
      <c r="G47" s="124"/>
      <c r="H47" s="124"/>
      <c r="I47" s="124"/>
      <c r="J47" s="124"/>
      <c r="K47" s="124"/>
      <c r="L47" s="124"/>
      <c r="M47" s="124"/>
      <c r="N47" s="125"/>
    </row>
    <row r="48" spans="2:14" s="22" customFormat="1" ht="10.15" customHeight="1" x14ac:dyDescent="0.2">
      <c r="B48" s="123"/>
      <c r="C48" s="124"/>
      <c r="D48" s="124"/>
      <c r="E48" s="124"/>
      <c r="F48" s="124"/>
      <c r="G48" s="124"/>
      <c r="H48" s="124"/>
      <c r="I48" s="124"/>
      <c r="J48" s="124"/>
      <c r="K48" s="124"/>
      <c r="L48" s="124"/>
      <c r="M48" s="124"/>
      <c r="N48" s="125"/>
    </row>
    <row r="49" spans="2:14" s="22" customFormat="1" ht="10.15" customHeight="1" x14ac:dyDescent="0.2">
      <c r="B49" s="126"/>
      <c r="C49" s="127"/>
      <c r="D49" s="127"/>
      <c r="E49" s="127"/>
      <c r="F49" s="127"/>
      <c r="G49" s="127"/>
      <c r="H49" s="127"/>
      <c r="I49" s="127"/>
      <c r="J49" s="127"/>
      <c r="K49" s="127"/>
      <c r="L49" s="127"/>
      <c r="M49" s="127"/>
      <c r="N49" s="128"/>
    </row>
    <row r="50" spans="2:14" s="22" customFormat="1" ht="10.15" customHeight="1" x14ac:dyDescent="0.2">
      <c r="J50" s="73"/>
      <c r="L50" s="74"/>
    </row>
  </sheetData>
  <mergeCells count="44">
    <mergeCell ref="C32:D32"/>
    <mergeCell ref="E32:F32"/>
    <mergeCell ref="C31:D31"/>
    <mergeCell ref="E31:F31"/>
    <mergeCell ref="J31:M31"/>
    <mergeCell ref="J32:M32"/>
    <mergeCell ref="B43:N49"/>
    <mergeCell ref="J41:M41"/>
    <mergeCell ref="J35:N35"/>
    <mergeCell ref="J36:M36"/>
    <mergeCell ref="J37:M37"/>
    <mergeCell ref="J38:M38"/>
    <mergeCell ref="J39:M39"/>
    <mergeCell ref="B39:G39"/>
    <mergeCell ref="B40:G40"/>
    <mergeCell ref="J40:M40"/>
    <mergeCell ref="B37:G37"/>
    <mergeCell ref="B38:G38"/>
    <mergeCell ref="B35:G35"/>
    <mergeCell ref="B36:G36"/>
    <mergeCell ref="C29:D29"/>
    <mergeCell ref="E29:F29"/>
    <mergeCell ref="J29:M29"/>
    <mergeCell ref="C30:D30"/>
    <mergeCell ref="E30:F30"/>
    <mergeCell ref="J30:M30"/>
    <mergeCell ref="B27:G27"/>
    <mergeCell ref="J27:N27"/>
    <mergeCell ref="C28:D28"/>
    <mergeCell ref="E28:F28"/>
    <mergeCell ref="J28:M28"/>
    <mergeCell ref="B6:C6"/>
    <mergeCell ref="D6:G6"/>
    <mergeCell ref="K6:L6"/>
    <mergeCell ref="M6:N6"/>
    <mergeCell ref="B8:G8"/>
    <mergeCell ref="I8:L8"/>
    <mergeCell ref="M8:N8"/>
    <mergeCell ref="B1:N1"/>
    <mergeCell ref="B2:N2"/>
    <mergeCell ref="B5:C5"/>
    <mergeCell ref="D5:G5"/>
    <mergeCell ref="K5:L5"/>
    <mergeCell ref="M5:N5"/>
  </mergeCells>
  <phoneticPr fontId="0" type="noConversion"/>
  <pageMargins left="0.7" right="0.7" top="0.75" bottom="0.75" header="0.3" footer="0.3"/>
  <pageSetup scale="66"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2026-07-01T17:53:06Z</cp:lastPrinted>
  <dcterms:created xsi:type="dcterms:W3CDTF">2010-01-16T14:52:12Z</dcterms:created>
  <dcterms:modified xsi:type="dcterms:W3CDTF">2026-07-01T17:53:42Z</dcterms:modified>
</cp:coreProperties>
</file>