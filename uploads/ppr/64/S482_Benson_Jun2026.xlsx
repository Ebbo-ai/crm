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F4898931-186E-41E9-9667-C2A349AD916C}" xr6:coauthVersionLast="47" xr6:coauthVersionMax="47" xr10:uidLastSave="{00000000-0000-0000-0000-000000000000}"/>
  <bookViews>
    <workbookView xWindow="-105" yWindow="0" windowWidth="26010" windowHeight="20985" xr2:uid="{00000000-000D-0000-FFFF-FFFF00000000}"/>
  </bookViews>
  <sheets>
    <sheet name="Dental-Vis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1" l="1"/>
  <c r="N22" i="1"/>
  <c r="D25" i="1"/>
  <c r="E25" i="1"/>
  <c r="G12" i="1"/>
  <c r="H12" i="1"/>
  <c r="I12" i="1"/>
  <c r="G13" i="1"/>
  <c r="H13" i="1"/>
  <c r="I13" i="1"/>
  <c r="M13" i="1" s="1"/>
  <c r="G14" i="1"/>
  <c r="H14" i="1"/>
  <c r="I14" i="1"/>
  <c r="G15" i="1"/>
  <c r="H15" i="1"/>
  <c r="I15" i="1"/>
  <c r="G16" i="1"/>
  <c r="H16" i="1"/>
  <c r="I16" i="1"/>
  <c r="G17" i="1"/>
  <c r="H17" i="1"/>
  <c r="I17" i="1"/>
  <c r="N17" i="1" s="1"/>
  <c r="G18" i="1"/>
  <c r="H18" i="1"/>
  <c r="I18" i="1"/>
  <c r="G19" i="1"/>
  <c r="H19" i="1"/>
  <c r="I19" i="1"/>
  <c r="G20" i="1"/>
  <c r="H20" i="1"/>
  <c r="I20" i="1"/>
  <c r="G21" i="1"/>
  <c r="H21" i="1"/>
  <c r="I21" i="1"/>
  <c r="G22" i="1"/>
  <c r="H22" i="1"/>
  <c r="I22" i="1"/>
  <c r="G23" i="1"/>
  <c r="H23" i="1"/>
  <c r="I23" i="1"/>
  <c r="C25" i="1"/>
  <c r="F25" i="1"/>
  <c r="J25" i="1"/>
  <c r="K25" i="1"/>
  <c r="L25" i="1"/>
  <c r="G29" i="1"/>
  <c r="B30" i="1"/>
  <c r="G30" i="1"/>
  <c r="G32" i="1"/>
  <c r="M17" i="1" l="1"/>
  <c r="N13" i="1"/>
  <c r="M14" i="1"/>
  <c r="M12" i="1"/>
  <c r="N12" i="1"/>
  <c r="N14" i="1"/>
  <c r="N15" i="1"/>
  <c r="M23" i="1"/>
  <c r="M22" i="1"/>
  <c r="M21" i="1"/>
  <c r="N21" i="1"/>
  <c r="M20" i="1"/>
  <c r="N20" i="1"/>
  <c r="N19" i="1"/>
  <c r="M19" i="1"/>
  <c r="N18" i="1"/>
  <c r="G25" i="1"/>
  <c r="N30" i="1" s="1"/>
  <c r="M18" i="1"/>
  <c r="N16" i="1"/>
  <c r="M16" i="1"/>
  <c r="M15" i="1"/>
  <c r="H25" i="1"/>
  <c r="I25" i="1"/>
  <c r="N29" i="1"/>
  <c r="N31" i="1"/>
  <c r="N28" i="1"/>
  <c r="N32" i="1" l="1"/>
  <c r="N25" i="1"/>
  <c r="M25" i="1"/>
</calcChain>
</file>

<file path=xl/sharedStrings.xml><?xml version="1.0" encoding="utf-8"?>
<sst xmlns="http://schemas.openxmlformats.org/spreadsheetml/2006/main" count="58" uniqueCount="52">
  <si>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</si>
  <si>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</si>
  <si>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</si>
  <si>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</si>
  <si>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</si>
  <si>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</si>
  <si>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</si>
  <si>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</si>
  <si>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</si>
  <si>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</si>
  <si>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</si>
  <si>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</si>
  <si>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</si>
  <si>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</si>
  <si>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</si>
  <si>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</si>
  <si>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</si>
  <si>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</si>
  <si>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</si>
  <si>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</si>
  <si>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</si>
  <si>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</si>
  <si>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</si>
  <si>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</si>
  <si>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</si>
  <si>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</si>
  <si>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</si>
  <si>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</si>
  <si>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</si>
  <si>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</si>
  <si>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</si>
  <si>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</si>
  <si>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</si>
  <si>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</si>
  <si>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</si>
  <si>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</si>
  <si>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</si>
  <si>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</si>
  <si>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</si>
  <si>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</si>
  <si>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</si>
  <si>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</si>
  <si>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BENSON ISD 777</t>
  </si>
  <si>
    <t>$50 Individual Deductible</t>
  </si>
  <si>
    <t>80% of Basic Procedures</t>
  </si>
  <si>
    <t>50% of Major Services</t>
  </si>
  <si>
    <t>$1,500 Annual Max/$300 vision benefit included</t>
  </si>
  <si>
    <t>100% of P&amp; D services</t>
  </si>
  <si>
    <t>S482</t>
  </si>
  <si>
    <t>S482DEN</t>
  </si>
  <si>
    <t>ES</t>
  </si>
  <si>
    <t>Orthodontia A&amp; C -  50% to a lifetime maximum $1,500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</si>
</sst>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b/>
      <sz val="12"/>
      <color theme="0"/>
      <name val="Arial"/>
      <family val="2"/>
    </font>
    <font>
      <b/>
      <sz val="12"/>
      <color rgb="FFFF0000"/>
      <name val="Arial"/>
      <family val="2"/>
    </font>
    <font>
      <sz val="12"/>
      <color rgb="FFFF000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7">
    <xf numFmtId="0" fontId="0" fillId="0" borderId="0"/>
    <xf numFmtId="43" fontId="11" fillId="0" borderId="0" applyFont="0" applyFill="0" applyBorder="0" applyAlignment="0" applyProtection="0"/>
    <xf numFmtId="43" fontId="1" fillId="0" borderId="0" applyFont="0" applyFill="0" applyBorder="0" applyAlignment="0" applyProtection="0"/>
    <xf numFmtId="44" fontId="11" fillId="0" borderId="0" applyFont="0" applyFill="0" applyBorder="0" applyAlignment="0" applyProtection="0"/>
    <xf numFmtId="44"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cellStyleXfs>
  <cellXfs count="147">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applyProtection="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Border="1" applyAlignment="1" applyProtection="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pplyProtection="1">
      <alignment horizontal="right"/>
    </xf>
    <xf numFmtId="165" fontId="13" fillId="0" borderId="5" xfId="1" applyNumberFormat="1" applyFont="1" applyBorder="1" applyAlignment="1" applyProtection="1">
      <alignment horizontal="right"/>
    </xf>
    <xf numFmtId="44" fontId="13" fillId="0" borderId="11" xfId="3" applyFont="1" applyBorder="1" applyAlignment="1" applyProtection="1">
      <alignment horizontal="right"/>
    </xf>
    <xf numFmtId="44" fontId="13" fillId="0" borderId="6" xfId="3" applyFont="1" applyBorder="1" applyAlignment="1" applyProtection="1">
      <alignment horizontal="right"/>
    </xf>
    <xf numFmtId="44" fontId="13" fillId="0" borderId="4" xfId="3" applyFont="1" applyBorder="1" applyAlignment="1" applyProtection="1">
      <alignment horizontal="center"/>
    </xf>
    <xf numFmtId="44" fontId="13" fillId="0" borderId="4" xfId="3" applyFont="1" applyBorder="1" applyProtection="1"/>
    <xf numFmtId="165" fontId="13" fillId="0" borderId="5" xfId="1" applyNumberFormat="1" applyFont="1" applyBorder="1" applyAlignment="1" applyProtection="1">
      <alignment horizontal="center" wrapText="1"/>
    </xf>
    <xf numFmtId="44" fontId="13" fillId="0" borderId="6" xfId="3" applyFont="1" applyBorder="1" applyProtection="1"/>
    <xf numFmtId="10" fontId="13" fillId="0" borderId="5" xfId="5" applyNumberFormat="1" applyFont="1" applyBorder="1" applyProtection="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Border="1" applyAlignment="1" applyProtection="1">
      <alignment horizontal="right"/>
    </xf>
    <xf numFmtId="165" fontId="13" fillId="0" borderId="12" xfId="1" applyNumberFormat="1" applyFont="1" applyBorder="1" applyAlignment="1" applyProtection="1">
      <alignment horizontal="right"/>
    </xf>
    <xf numFmtId="44" fontId="13" fillId="0" borderId="3" xfId="3" applyFont="1" applyBorder="1" applyAlignment="1" applyProtection="1">
      <alignment horizontal="right"/>
    </xf>
    <xf numFmtId="44" fontId="13" fillId="0" borderId="2" xfId="3" applyFont="1" applyBorder="1" applyAlignment="1" applyProtection="1">
      <alignment horizontal="right"/>
    </xf>
    <xf numFmtId="44" fontId="13" fillId="0" borderId="0" xfId="3" applyFont="1" applyBorder="1" applyAlignment="1" applyProtection="1">
      <alignment horizontal="right"/>
    </xf>
    <xf numFmtId="10" fontId="13" fillId="0" borderId="12" xfId="5" applyNumberFormat="1" applyFont="1" applyBorder="1" applyAlignment="1" applyProtection="1">
      <alignment horizontal="right"/>
    </xf>
    <xf numFmtId="165" fontId="13" fillId="0" borderId="0" xfId="1" applyNumberFormat="1" applyFont="1" applyProtection="1"/>
    <xf numFmtId="17" fontId="13" fillId="0" borderId="7" xfId="0" applyNumberFormat="1" applyFont="1" applyBorder="1" applyAlignment="1">
      <alignment horizontal="right"/>
    </xf>
    <xf numFmtId="165" fontId="13" fillId="0" borderId="8" xfId="1" applyNumberFormat="1" applyFont="1" applyBorder="1" applyAlignment="1" applyProtection="1">
      <alignment horizontal="right"/>
    </xf>
    <xf numFmtId="165" fontId="13" fillId="0" borderId="10" xfId="1" applyNumberFormat="1" applyFont="1" applyBorder="1" applyAlignment="1" applyProtection="1">
      <alignment horizontal="right"/>
    </xf>
    <xf numFmtId="44" fontId="13" fillId="0" borderId="9" xfId="3" applyFont="1" applyBorder="1" applyAlignment="1" applyProtection="1">
      <alignment horizontal="right"/>
    </xf>
    <xf numFmtId="44" fontId="13" fillId="0" borderId="7" xfId="3" applyFont="1" applyBorder="1" applyAlignment="1" applyProtection="1">
      <alignment horizontal="right"/>
    </xf>
    <xf numFmtId="44" fontId="13" fillId="0" borderId="8" xfId="3" applyFont="1" applyBorder="1" applyAlignment="1" applyProtection="1">
      <alignment horizontal="center"/>
    </xf>
    <xf numFmtId="44" fontId="13" fillId="0" borderId="8" xfId="3" applyFont="1" applyBorder="1" applyProtection="1"/>
    <xf numFmtId="165" fontId="13" fillId="0" borderId="10" xfId="1" applyNumberFormat="1" applyFont="1" applyBorder="1" applyAlignment="1" applyProtection="1">
      <alignment horizontal="center" wrapText="1"/>
    </xf>
    <xf numFmtId="44" fontId="13" fillId="0" borderId="7" xfId="3" applyFont="1" applyBorder="1" applyProtection="1"/>
    <xf numFmtId="10" fontId="13" fillId="0" borderId="10" xfId="5" applyNumberFormat="1" applyFont="1" applyBorder="1" applyAlignment="1" applyProtection="1">
      <alignment horizontal="center"/>
    </xf>
    <xf numFmtId="0" fontId="12" fillId="0" borderId="13" xfId="0" applyFont="1" applyBorder="1" applyAlignment="1">
      <alignment horizontal="right"/>
    </xf>
    <xf numFmtId="165" fontId="12" fillId="0" borderId="14" xfId="1" applyNumberFormat="1" applyFont="1" applyBorder="1" applyAlignment="1" applyProtection="1">
      <alignment horizontal="right"/>
    </xf>
    <xf numFmtId="44" fontId="12" fillId="0" borderId="13" xfId="3" applyFont="1" applyBorder="1" applyProtection="1"/>
    <xf numFmtId="44" fontId="12" fillId="0" borderId="14" xfId="3" applyFont="1" applyBorder="1" applyProtection="1"/>
    <xf numFmtId="44" fontId="12" fillId="0" borderId="14" xfId="3" applyFont="1" applyBorder="1" applyAlignment="1" applyProtection="1">
      <alignment horizontal="right"/>
    </xf>
    <xf numFmtId="165" fontId="12" fillId="0" borderId="15" xfId="1" applyNumberFormat="1" applyFont="1" applyBorder="1" applyAlignment="1" applyProtection="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44" fontId="13" fillId="0" borderId="17" xfId="3" applyFont="1" applyBorder="1" applyProtection="1"/>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pplyProtection="1">
      <alignment horizontal="right"/>
    </xf>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165" fontId="15" fillId="0" borderId="14" xfId="1" applyNumberFormat="1" applyFont="1" applyBorder="1" applyAlignment="1" applyProtection="1">
      <alignment horizontal="right"/>
    </xf>
    <xf numFmtId="43" fontId="13" fillId="0" borderId="17" xfId="1" applyFont="1" applyBorder="1" applyProtection="1"/>
    <xf numFmtId="10" fontId="13" fillId="0" borderId="17" xfId="0" applyNumberFormat="1" applyFont="1" applyBorder="1"/>
    <xf numFmtId="44" fontId="17" fillId="0" borderId="17" xfId="3" applyFont="1" applyBorder="1" applyProtection="1"/>
    <xf numFmtId="43" fontId="17" fillId="0" borderId="17" xfId="1" applyFont="1" applyBorder="1" applyProtection="1"/>
    <xf numFmtId="10" fontId="17" fillId="0" borderId="17" xfId="0" applyNumberFormat="1" applyFont="1" applyBorder="1"/>
    <xf numFmtId="8" fontId="17" fillId="0" borderId="17" xfId="3" applyNumberFormat="1" applyFont="1" applyBorder="1" applyProtection="1"/>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0" fontId="16" fillId="0" borderId="16" xfId="0" applyFont="1" applyBorder="1" applyAlignment="1">
      <alignment horizontal="center"/>
    </xf>
    <xf numFmtId="0" fontId="17" fillId="0" borderId="18" xfId="0" applyFont="1" applyBorder="1" applyAlignment="1">
      <alignment horizontal="center"/>
    </xf>
    <xf numFmtId="0" fontId="17" fillId="0" borderId="19" xfId="0" applyFont="1" applyBorder="1" applyAlignment="1">
      <alignment horizontal="center"/>
    </xf>
    <xf numFmtId="0" fontId="17" fillId="0" borderId="16" xfId="0" applyFont="1" applyBorder="1" applyAlignment="1">
      <alignment horizontal="right"/>
    </xf>
    <xf numFmtId="0" fontId="17" fillId="0" borderId="18" xfId="0" applyFont="1" applyBorder="1" applyAlignment="1">
      <alignment horizontal="right"/>
    </xf>
    <xf numFmtId="0" fontId="17"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0" fontId="12" fillId="0" borderId="11" xfId="0" applyFont="1" applyBorder="1" applyAlignment="1">
      <alignment horizontal="center"/>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0" fontId="4" fillId="0" borderId="0" xfId="0" applyFont="1" applyAlignment="1">
      <alignment horizontal="right"/>
    </xf>
    <xf numFmtId="0" fontId="2" fillId="0" borderId="0" xfId="0" applyFont="1" applyAlignment="1">
      <alignment horizontal="lef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482600</xdr:colOff>
      <xdr:row>3</xdr:row>
      <xdr:rowOff>101600</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4"/>
  <sheetViews>
    <sheetView tabSelected="1" workbookViewId="0">
      <selection activeCell="R18" sqref="R18"/>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45" t="s">
        <v>42</v>
      </c>
      <c r="C1" s="145"/>
      <c r="D1" s="145"/>
      <c r="E1" s="145"/>
      <c r="F1" s="145"/>
      <c r="G1" s="145"/>
      <c r="H1" s="145"/>
      <c r="I1" s="145"/>
      <c r="J1" s="145"/>
      <c r="K1" s="145"/>
      <c r="L1" s="145"/>
      <c r="M1" s="145"/>
      <c r="N1" s="145"/>
    </row>
    <row r="2" spans="2:26" s="1" customFormat="1" ht="20.25" customHeight="1" x14ac:dyDescent="0.25">
      <c r="B2" s="146" t="s">
        <v>38</v>
      </c>
      <c r="C2" s="146"/>
      <c r="D2" s="146"/>
      <c r="E2" s="146"/>
      <c r="F2" s="146"/>
      <c r="G2" s="146"/>
      <c r="H2" s="146"/>
      <c r="I2" s="146"/>
      <c r="J2" s="146"/>
      <c r="K2" s="146"/>
      <c r="L2" s="146"/>
      <c r="M2" s="146"/>
      <c r="N2" s="146"/>
      <c r="O2" s="2"/>
      <c r="P2" s="2"/>
      <c r="Q2" s="3"/>
      <c r="R2" s="2"/>
      <c r="S2" s="2"/>
      <c r="T2" s="2"/>
      <c r="U2" s="2"/>
      <c r="V2" s="2"/>
      <c r="W2" s="2"/>
      <c r="X2" s="2"/>
      <c r="Y2" s="2"/>
      <c r="Z2" s="2"/>
    </row>
    <row r="3" spans="2:26" s="1" customFormat="1" ht="20.25" customHeight="1" x14ac:dyDescent="0.25">
      <c r="G3" s="4" t="s">
        <v>0</v>
      </c>
      <c r="H3" s="5">
        <v>45839</v>
      </c>
      <c r="I3" s="20" t="s">
        <v>1</v>
      </c>
      <c r="J3" s="5">
        <v>46203</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31" t="s">
        <v>2</v>
      </c>
      <c r="C5" s="131"/>
      <c r="D5" s="132" t="s">
        <v>48</v>
      </c>
      <c r="E5" s="132"/>
      <c r="F5" s="132"/>
      <c r="G5" s="132"/>
      <c r="H5" s="14"/>
      <c r="I5" s="15"/>
      <c r="J5" s="15"/>
      <c r="K5" s="131" t="s">
        <v>3</v>
      </c>
      <c r="L5" s="131"/>
      <c r="M5" s="132" t="s">
        <v>40</v>
      </c>
      <c r="N5" s="132"/>
    </row>
    <row r="6" spans="2:26" s="1" customFormat="1" ht="20.25" customHeight="1" x14ac:dyDescent="0.25">
      <c r="B6" s="131" t="s">
        <v>4</v>
      </c>
      <c r="C6" s="131"/>
      <c r="D6" s="132" t="s">
        <v>39</v>
      </c>
      <c r="E6" s="132"/>
      <c r="F6" s="132"/>
      <c r="G6" s="132"/>
      <c r="H6" s="14"/>
      <c r="I6" s="11"/>
      <c r="J6" s="11"/>
      <c r="K6" s="131" t="s">
        <v>5</v>
      </c>
      <c r="L6" s="131"/>
      <c r="M6" s="132" t="s">
        <v>49</v>
      </c>
      <c r="N6" s="132"/>
    </row>
    <row r="7" spans="2:26" ht="21" customHeight="1" thickBot="1" x14ac:dyDescent="0.25">
      <c r="C7" s="17"/>
      <c r="D7" s="17"/>
      <c r="E7" s="17"/>
    </row>
    <row r="8" spans="2:26" s="22" customFormat="1" ht="15.75" customHeight="1" thickBot="1" x14ac:dyDescent="0.25">
      <c r="B8" s="133" t="s">
        <v>6</v>
      </c>
      <c r="C8" s="134"/>
      <c r="D8" s="134"/>
      <c r="E8" s="134"/>
      <c r="F8" s="134"/>
      <c r="G8" s="134"/>
      <c r="H8" s="21" t="s">
        <v>7</v>
      </c>
      <c r="I8" s="135" t="s">
        <v>8</v>
      </c>
      <c r="J8" s="135"/>
      <c r="K8" s="135"/>
      <c r="L8" s="136"/>
      <c r="M8" s="137" t="s">
        <v>9</v>
      </c>
      <c r="N8" s="136"/>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50</v>
      </c>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45839</v>
      </c>
      <c r="C12" s="51">
        <v>34</v>
      </c>
      <c r="D12" s="51">
        <v>4</v>
      </c>
      <c r="E12" s="51"/>
      <c r="F12" s="51">
        <v>16</v>
      </c>
      <c r="G12" s="52">
        <f>SUM(C12:F12)</f>
        <v>54</v>
      </c>
      <c r="H12" s="53">
        <f>(C12*$E$29)+(D12*$E$30)+(E12*$E$31)+(F12*$E$32)</f>
        <v>556.20000000000005</v>
      </c>
      <c r="I12" s="54">
        <f>(C12*$C$29)+(D12*$C$30)+(E12*$C$31)+(F12*$C$32)</f>
        <v>4255.9799999999996</v>
      </c>
      <c r="J12" s="55">
        <v>7400.42</v>
      </c>
      <c r="K12" s="55">
        <v>6313.62</v>
      </c>
      <c r="L12" s="52">
        <v>24</v>
      </c>
      <c r="M12" s="54">
        <f>H12+I12-K12</f>
        <v>-1501.4400000000005</v>
      </c>
      <c r="N12" s="56">
        <f>K12/(H12+I12)</f>
        <v>1.3120082789920577</v>
      </c>
      <c r="Q12" s="49"/>
      <c r="R12" s="49"/>
    </row>
    <row r="13" spans="2:26" s="22" customFormat="1" ht="15.75" customHeight="1" x14ac:dyDescent="0.2">
      <c r="B13" s="50">
        <v>45870</v>
      </c>
      <c r="C13" s="51">
        <v>33</v>
      </c>
      <c r="D13" s="51">
        <v>4</v>
      </c>
      <c r="E13" s="51"/>
      <c r="F13" s="51">
        <v>18</v>
      </c>
      <c r="G13" s="52">
        <f t="shared" ref="G13:G23" si="0">SUM(C13:F13)</f>
        <v>55</v>
      </c>
      <c r="H13" s="53">
        <f t="shared" ref="H13:H23" si="1">(C13*$E$29)+(D13*$E$30)+(E13*$E$31)+(F13*$E$32)</f>
        <v>566.5</v>
      </c>
      <c r="I13" s="54">
        <f t="shared" ref="I13:I23" si="2">(C13*$C$29)+(D13*$C$30)+(E13*$C$31)+(F13*$C$32)</f>
        <v>4504.79</v>
      </c>
      <c r="J13" s="55">
        <v>7894.63</v>
      </c>
      <c r="K13" s="55">
        <v>5492.61</v>
      </c>
      <c r="L13" s="52">
        <v>15</v>
      </c>
      <c r="M13" s="54">
        <f t="shared" ref="M13:M23" si="3">H13+I13-K13</f>
        <v>-421.31999999999971</v>
      </c>
      <c r="N13" s="56">
        <f t="shared" ref="N13:N23" si="4">K13/(H13+I13)</f>
        <v>1.083079453156889</v>
      </c>
      <c r="Q13" s="57"/>
      <c r="R13" s="49"/>
    </row>
    <row r="14" spans="2:26" s="22" customFormat="1" ht="15.75" customHeight="1" x14ac:dyDescent="0.2">
      <c r="B14" s="50">
        <v>45901</v>
      </c>
      <c r="C14" s="51">
        <v>37</v>
      </c>
      <c r="D14" s="51">
        <v>4</v>
      </c>
      <c r="E14" s="51"/>
      <c r="F14" s="51">
        <v>18</v>
      </c>
      <c r="G14" s="52">
        <f t="shared" si="0"/>
        <v>59</v>
      </c>
      <c r="H14" s="53">
        <f t="shared" si="1"/>
        <v>607.70000000000005</v>
      </c>
      <c r="I14" s="54">
        <f t="shared" si="2"/>
        <v>4686.03</v>
      </c>
      <c r="J14" s="55">
        <v>18025.330000000002</v>
      </c>
      <c r="K14" s="55">
        <v>14732.32</v>
      </c>
      <c r="L14" s="52">
        <v>39</v>
      </c>
      <c r="M14" s="54">
        <f t="shared" si="3"/>
        <v>-9438.59</v>
      </c>
      <c r="N14" s="56">
        <f t="shared" si="4"/>
        <v>2.7829753311936956</v>
      </c>
      <c r="Q14" s="57"/>
      <c r="R14" s="49"/>
    </row>
    <row r="15" spans="2:26" s="22" customFormat="1" ht="15.75" customHeight="1" x14ac:dyDescent="0.2">
      <c r="B15" s="50">
        <v>45931</v>
      </c>
      <c r="C15" s="51">
        <v>37</v>
      </c>
      <c r="D15" s="51">
        <v>4</v>
      </c>
      <c r="E15" s="51"/>
      <c r="F15" s="51">
        <v>18</v>
      </c>
      <c r="G15" s="52">
        <f t="shared" si="0"/>
        <v>59</v>
      </c>
      <c r="H15" s="53">
        <f t="shared" si="1"/>
        <v>607.70000000000005</v>
      </c>
      <c r="I15" s="54">
        <f t="shared" si="2"/>
        <v>4686.03</v>
      </c>
      <c r="J15" s="55">
        <v>10248.93</v>
      </c>
      <c r="K15" s="55">
        <v>5699.62</v>
      </c>
      <c r="L15" s="52">
        <v>23</v>
      </c>
      <c r="M15" s="54">
        <f t="shared" si="3"/>
        <v>-405.89000000000033</v>
      </c>
      <c r="N15" s="56">
        <f t="shared" si="4"/>
        <v>1.0766737253316661</v>
      </c>
      <c r="Q15" s="57"/>
      <c r="R15" s="49"/>
    </row>
    <row r="16" spans="2:26" s="22" customFormat="1" ht="15.75" customHeight="1" x14ac:dyDescent="0.2">
      <c r="B16" s="50">
        <v>45962</v>
      </c>
      <c r="C16" s="51">
        <v>37</v>
      </c>
      <c r="D16" s="51">
        <v>4</v>
      </c>
      <c r="E16" s="51"/>
      <c r="F16" s="51">
        <v>18</v>
      </c>
      <c r="G16" s="52">
        <f t="shared" si="0"/>
        <v>59</v>
      </c>
      <c r="H16" s="53">
        <f t="shared" si="1"/>
        <v>607.70000000000005</v>
      </c>
      <c r="I16" s="54">
        <f t="shared" si="2"/>
        <v>4686.03</v>
      </c>
      <c r="J16" s="55">
        <v>5892.93</v>
      </c>
      <c r="K16" s="55">
        <v>4095.72</v>
      </c>
      <c r="L16" s="52">
        <v>12</v>
      </c>
      <c r="M16" s="54">
        <f t="shared" si="3"/>
        <v>1198.0099999999998</v>
      </c>
      <c r="N16" s="56">
        <f t="shared" si="4"/>
        <v>0.77369265149525956</v>
      </c>
      <c r="Q16" s="57"/>
      <c r="R16" s="49"/>
    </row>
    <row r="17" spans="2:18" s="22" customFormat="1" ht="15.75" customHeight="1" x14ac:dyDescent="0.2">
      <c r="B17" s="50">
        <v>45992</v>
      </c>
      <c r="C17" s="51">
        <v>36</v>
      </c>
      <c r="D17" s="51">
        <v>4</v>
      </c>
      <c r="E17" s="51"/>
      <c r="F17" s="51">
        <v>19</v>
      </c>
      <c r="G17" s="52">
        <f t="shared" si="0"/>
        <v>59</v>
      </c>
      <c r="H17" s="53">
        <f t="shared" si="1"/>
        <v>607.70000000000005</v>
      </c>
      <c r="I17" s="54">
        <f t="shared" si="2"/>
        <v>4787.78</v>
      </c>
      <c r="J17" s="55">
        <v>8870.7000000000007</v>
      </c>
      <c r="K17" s="55">
        <v>6123.3</v>
      </c>
      <c r="L17" s="52">
        <v>19</v>
      </c>
      <c r="M17" s="54">
        <f t="shared" si="3"/>
        <v>-727.82000000000062</v>
      </c>
      <c r="N17" s="56">
        <f t="shared" si="4"/>
        <v>1.1348943930845821</v>
      </c>
      <c r="Q17" s="57"/>
      <c r="R17" s="49"/>
    </row>
    <row r="18" spans="2:18" s="22" customFormat="1" ht="15.75" customHeight="1" x14ac:dyDescent="0.2">
      <c r="B18" s="50">
        <v>46023</v>
      </c>
      <c r="C18" s="51">
        <v>37</v>
      </c>
      <c r="D18" s="51">
        <v>4</v>
      </c>
      <c r="E18" s="51"/>
      <c r="F18" s="51">
        <v>19</v>
      </c>
      <c r="G18" s="52">
        <f t="shared" si="0"/>
        <v>60</v>
      </c>
      <c r="H18" s="53">
        <f t="shared" si="1"/>
        <v>618</v>
      </c>
      <c r="I18" s="54">
        <f t="shared" si="2"/>
        <v>4833.09</v>
      </c>
      <c r="J18" s="55">
        <v>10816.55</v>
      </c>
      <c r="K18" s="55">
        <v>8423.5300000000007</v>
      </c>
      <c r="L18" s="52">
        <v>30</v>
      </c>
      <c r="M18" s="54">
        <f t="shared" si="3"/>
        <v>-2972.4400000000005</v>
      </c>
      <c r="N18" s="56">
        <f t="shared" si="4"/>
        <v>1.545292776307124</v>
      </c>
      <c r="Q18" s="57"/>
      <c r="R18" s="49"/>
    </row>
    <row r="19" spans="2:18" s="22" customFormat="1" ht="15.75" customHeight="1" x14ac:dyDescent="0.2">
      <c r="B19" s="50">
        <v>46054</v>
      </c>
      <c r="C19" s="51">
        <v>38</v>
      </c>
      <c r="D19" s="51">
        <v>4</v>
      </c>
      <c r="E19" s="51"/>
      <c r="F19" s="51">
        <v>17</v>
      </c>
      <c r="G19" s="52">
        <f t="shared" si="0"/>
        <v>59</v>
      </c>
      <c r="H19" s="53">
        <f t="shared" si="1"/>
        <v>607.70000000000005</v>
      </c>
      <c r="I19" s="54">
        <f t="shared" si="2"/>
        <v>4584.2800000000007</v>
      </c>
      <c r="J19" s="55">
        <v>3953.51</v>
      </c>
      <c r="K19" s="55">
        <v>3400.76</v>
      </c>
      <c r="L19" s="52">
        <v>14</v>
      </c>
      <c r="M19" s="54">
        <f t="shared" si="3"/>
        <v>1791.2200000000003</v>
      </c>
      <c r="N19" s="56">
        <f t="shared" si="4"/>
        <v>0.65500252312219998</v>
      </c>
      <c r="Q19" s="57"/>
      <c r="R19" s="49"/>
    </row>
    <row r="20" spans="2:18" s="22" customFormat="1" ht="15.75" customHeight="1" x14ac:dyDescent="0.2">
      <c r="B20" s="50">
        <v>46082</v>
      </c>
      <c r="C20" s="51">
        <v>37</v>
      </c>
      <c r="D20" s="51">
        <v>4</v>
      </c>
      <c r="E20" s="51"/>
      <c r="F20" s="51">
        <v>17</v>
      </c>
      <c r="G20" s="52">
        <f t="shared" si="0"/>
        <v>58</v>
      </c>
      <c r="H20" s="53">
        <f t="shared" si="1"/>
        <v>597.40000000000009</v>
      </c>
      <c r="I20" s="54">
        <f t="shared" si="2"/>
        <v>4538.97</v>
      </c>
      <c r="J20" s="55">
        <v>5354.8</v>
      </c>
      <c r="K20" s="55">
        <v>4916.8</v>
      </c>
      <c r="L20" s="52">
        <v>16</v>
      </c>
      <c r="M20" s="54">
        <f t="shared" si="3"/>
        <v>219.57000000000062</v>
      </c>
      <c r="N20" s="56">
        <f t="shared" si="4"/>
        <v>0.9572519113693132</v>
      </c>
      <c r="Q20" s="57"/>
      <c r="R20" s="49"/>
    </row>
    <row r="21" spans="2:18" s="22" customFormat="1" ht="15.75" customHeight="1" x14ac:dyDescent="0.2">
      <c r="B21" s="50">
        <v>46113</v>
      </c>
      <c r="C21" s="51">
        <v>37</v>
      </c>
      <c r="D21" s="51">
        <v>3</v>
      </c>
      <c r="E21" s="51"/>
      <c r="F21" s="51">
        <v>17</v>
      </c>
      <c r="G21" s="52">
        <f t="shared" si="0"/>
        <v>57</v>
      </c>
      <c r="H21" s="53">
        <f t="shared" si="1"/>
        <v>587.1</v>
      </c>
      <c r="I21" s="54">
        <f t="shared" si="2"/>
        <v>4448.3500000000004</v>
      </c>
      <c r="J21" s="55">
        <v>3499.4</v>
      </c>
      <c r="K21" s="55">
        <v>2431.4</v>
      </c>
      <c r="L21" s="52">
        <v>5</v>
      </c>
      <c r="M21" s="54">
        <f t="shared" si="3"/>
        <v>2604.0500000000006</v>
      </c>
      <c r="N21" s="56">
        <f t="shared" si="4"/>
        <v>0.4828565470811943</v>
      </c>
      <c r="Q21" s="57"/>
      <c r="R21" s="49"/>
    </row>
    <row r="22" spans="2:18" s="22" customFormat="1" ht="15.75" customHeight="1" x14ac:dyDescent="0.2">
      <c r="B22" s="50">
        <v>46143</v>
      </c>
      <c r="C22" s="51">
        <v>36</v>
      </c>
      <c r="D22" s="51">
        <v>3</v>
      </c>
      <c r="E22" s="51"/>
      <c r="F22" s="51">
        <v>17</v>
      </c>
      <c r="G22" s="52">
        <f t="shared" si="0"/>
        <v>56</v>
      </c>
      <c r="H22" s="53">
        <f t="shared" si="1"/>
        <v>576.79999999999995</v>
      </c>
      <c r="I22" s="54">
        <f t="shared" si="2"/>
        <v>4403.04</v>
      </c>
      <c r="J22" s="55">
        <v>0</v>
      </c>
      <c r="K22" s="55">
        <v>0</v>
      </c>
      <c r="L22" s="52">
        <v>0</v>
      </c>
      <c r="M22" s="54">
        <f t="shared" si="3"/>
        <v>4979.84</v>
      </c>
      <c r="N22" s="56">
        <f t="shared" si="4"/>
        <v>0</v>
      </c>
      <c r="Q22" s="57"/>
      <c r="R22" s="49"/>
    </row>
    <row r="23" spans="2:18" s="22" customFormat="1" ht="15.75" customHeight="1" x14ac:dyDescent="0.2">
      <c r="B23" s="50">
        <v>46174</v>
      </c>
      <c r="C23" s="51">
        <v>36</v>
      </c>
      <c r="D23" s="51">
        <v>3</v>
      </c>
      <c r="E23" s="51"/>
      <c r="F23" s="51">
        <v>17</v>
      </c>
      <c r="G23" s="52">
        <f t="shared" si="0"/>
        <v>56</v>
      </c>
      <c r="H23" s="53">
        <f t="shared" si="1"/>
        <v>576.79999999999995</v>
      </c>
      <c r="I23" s="54">
        <f t="shared" si="2"/>
        <v>4403.04</v>
      </c>
      <c r="J23" s="55">
        <v>18153.009999999998</v>
      </c>
      <c r="K23" s="55">
        <v>12940.86</v>
      </c>
      <c r="L23" s="52">
        <v>43</v>
      </c>
      <c r="M23" s="54">
        <f t="shared" si="3"/>
        <v>-7961.02</v>
      </c>
      <c r="N23" s="56">
        <f t="shared" si="4"/>
        <v>2.598649755815448</v>
      </c>
      <c r="Q23" s="57"/>
      <c r="R23" s="49"/>
    </row>
    <row r="24" spans="2:18" s="22" customFormat="1" ht="15.75" customHeight="1" thickBot="1" x14ac:dyDescent="0.25">
      <c r="B24" s="58"/>
      <c r="C24" s="59"/>
      <c r="D24" s="59"/>
      <c r="E24" s="59"/>
      <c r="F24" s="59"/>
      <c r="G24" s="60"/>
      <c r="H24" s="61"/>
      <c r="I24" s="62"/>
      <c r="J24" s="63"/>
      <c r="K24" s="64"/>
      <c r="L24" s="65"/>
      <c r="M24" s="66"/>
      <c r="N24" s="67"/>
    </row>
    <row r="25" spans="2:18" s="75" customFormat="1" ht="15.75" customHeight="1" thickBot="1" x14ac:dyDescent="0.3">
      <c r="B25" s="68" t="s">
        <v>23</v>
      </c>
      <c r="C25" s="69">
        <f>AVERAGEIF(C12:C23,"&gt;0")</f>
        <v>36.25</v>
      </c>
      <c r="D25" s="69">
        <f>AVERAGEIF(D12:D23,"&gt;0")</f>
        <v>3.75</v>
      </c>
      <c r="E25" s="90" t="e">
        <f>AVERAGEIF(E12:E23,"&gt;0")</f>
        <v>#DIV/0!</v>
      </c>
      <c r="F25" s="69">
        <f>AVERAGEIF(F12:F23,"&gt;0")</f>
        <v>17.583333333333332</v>
      </c>
      <c r="G25" s="69">
        <f>AVERAGEIF(G12:G23,"&gt;0")</f>
        <v>57.583333333333336</v>
      </c>
      <c r="H25" s="70">
        <f>SUM(H11:H23)</f>
        <v>7117.3000000000011</v>
      </c>
      <c r="I25" s="70">
        <f>SUM(I11:I23)</f>
        <v>54817.409999999996</v>
      </c>
      <c r="J25" s="71">
        <f>SUM(J11:J23)</f>
        <v>100110.20999999999</v>
      </c>
      <c r="K25" s="72">
        <f>SUM(K11:K23)</f>
        <v>74570.540000000008</v>
      </c>
      <c r="L25" s="73">
        <f>SUM(L12:L23)</f>
        <v>240</v>
      </c>
      <c r="M25" s="70">
        <f>SUM(M12:M23)</f>
        <v>-12635.830000000004</v>
      </c>
      <c r="N25" s="74">
        <f>IF((H25+I25)&gt;0,K25/(H25+I25),"")</f>
        <v>1.2040185543776665</v>
      </c>
    </row>
    <row r="26" spans="2:18" s="22" customFormat="1" ht="15.75" customHeight="1" x14ac:dyDescent="0.2">
      <c r="J26" s="76"/>
      <c r="L26" s="77"/>
    </row>
    <row r="27" spans="2:18" s="22" customFormat="1" ht="15.75" customHeight="1" x14ac:dyDescent="0.25">
      <c r="B27" s="138" t="s">
        <v>24</v>
      </c>
      <c r="C27" s="139"/>
      <c r="D27" s="139"/>
      <c r="E27" s="139"/>
      <c r="F27" s="139"/>
      <c r="G27" s="140"/>
      <c r="H27" s="78"/>
      <c r="J27" s="141" t="s">
        <v>25</v>
      </c>
      <c r="K27" s="142"/>
      <c r="L27" s="142"/>
      <c r="M27" s="142"/>
      <c r="N27" s="143"/>
    </row>
    <row r="28" spans="2:18" s="22" customFormat="1" ht="15.75" customHeight="1" x14ac:dyDescent="0.2">
      <c r="B28" s="79"/>
      <c r="C28" s="142" t="s">
        <v>26</v>
      </c>
      <c r="D28" s="143"/>
      <c r="E28" s="144" t="s">
        <v>27</v>
      </c>
      <c r="F28" s="143"/>
      <c r="G28" s="80" t="s">
        <v>15</v>
      </c>
      <c r="H28" s="76"/>
      <c r="J28" s="124" t="s">
        <v>28</v>
      </c>
      <c r="K28" s="125"/>
      <c r="L28" s="125"/>
      <c r="M28" s="126"/>
      <c r="N28" s="81">
        <f>J25/L25</f>
        <v>417.12587499999995</v>
      </c>
    </row>
    <row r="29" spans="2:18" s="22" customFormat="1" ht="15.75" customHeight="1" x14ac:dyDescent="0.2">
      <c r="B29" s="82" t="s">
        <v>29</v>
      </c>
      <c r="C29" s="128">
        <v>45.31</v>
      </c>
      <c r="D29" s="129"/>
      <c r="E29" s="130">
        <v>10.3</v>
      </c>
      <c r="F29" s="129"/>
      <c r="G29" s="83">
        <f>C29+E29</f>
        <v>55.61</v>
      </c>
      <c r="H29" s="84"/>
      <c r="J29" s="124" t="s">
        <v>30</v>
      </c>
      <c r="K29" s="125"/>
      <c r="L29" s="125"/>
      <c r="M29" s="126"/>
      <c r="N29" s="81">
        <f>K25/L25</f>
        <v>310.71058333333337</v>
      </c>
    </row>
    <row r="30" spans="2:18" s="22" customFormat="1" ht="15.75" customHeight="1" x14ac:dyDescent="0.2">
      <c r="B30" s="85" t="str">
        <f>IF(D10="E+1","EE &amp; One","EE &amp; Spouse")</f>
        <v>EE &amp; Spouse</v>
      </c>
      <c r="C30" s="128">
        <v>90.62</v>
      </c>
      <c r="D30" s="129"/>
      <c r="E30" s="130">
        <v>10.3</v>
      </c>
      <c r="F30" s="129"/>
      <c r="G30" s="83">
        <f>C30+E30</f>
        <v>100.92</v>
      </c>
      <c r="H30" s="84"/>
      <c r="J30" s="124" t="s">
        <v>31</v>
      </c>
      <c r="K30" s="125"/>
      <c r="L30" s="125"/>
      <c r="M30" s="126"/>
      <c r="N30" s="91">
        <f>((L25/COUNTIF(G12:G23,"&gt;0"))*12)/G25</f>
        <v>4.1678726483357451</v>
      </c>
    </row>
    <row r="31" spans="2:18" s="22" customFormat="1" ht="15.75" customHeight="1" x14ac:dyDescent="0.2">
      <c r="B31" s="82"/>
      <c r="C31" s="128"/>
      <c r="D31" s="129"/>
      <c r="E31" s="130"/>
      <c r="F31" s="129"/>
      <c r="G31" s="83"/>
      <c r="H31" s="84"/>
      <c r="J31" s="124" t="s">
        <v>32</v>
      </c>
      <c r="K31" s="125"/>
      <c r="L31" s="125"/>
      <c r="M31" s="126"/>
      <c r="N31" s="92">
        <f>K25/J25</f>
        <v>0.74488446283351128</v>
      </c>
    </row>
    <row r="32" spans="2:18" s="22" customFormat="1" ht="15.75" customHeight="1" x14ac:dyDescent="0.2">
      <c r="B32" s="82" t="s">
        <v>33</v>
      </c>
      <c r="C32" s="128">
        <v>147.06</v>
      </c>
      <c r="D32" s="129"/>
      <c r="E32" s="130">
        <v>10.3</v>
      </c>
      <c r="F32" s="129"/>
      <c r="G32" s="83">
        <f>C32+E32</f>
        <v>157.36000000000001</v>
      </c>
      <c r="H32" s="84"/>
      <c r="J32" s="124" t="s">
        <v>34</v>
      </c>
      <c r="K32" s="125"/>
      <c r="L32" s="125"/>
      <c r="M32" s="126"/>
      <c r="N32" s="81">
        <f>K25/G25/(COUNTIF(G12:G23,"&gt;0"))</f>
        <v>107.91684515195369</v>
      </c>
    </row>
    <row r="33" spans="2:14" s="22" customFormat="1" ht="15.75" customHeight="1" x14ac:dyDescent="0.2">
      <c r="C33" s="84"/>
      <c r="D33" s="84"/>
      <c r="E33" s="84"/>
      <c r="F33" s="86"/>
      <c r="G33" s="84"/>
      <c r="H33" s="84"/>
      <c r="J33" s="87"/>
      <c r="K33" s="87"/>
      <c r="L33" s="87"/>
      <c r="M33" s="87"/>
      <c r="N33" s="88"/>
    </row>
    <row r="34" spans="2:14" s="22" customFormat="1" ht="15.75" customHeight="1" thickBot="1" x14ac:dyDescent="0.25">
      <c r="J34" s="76"/>
      <c r="L34" s="77"/>
    </row>
    <row r="35" spans="2:14" s="22" customFormat="1" ht="15.75" customHeight="1" thickBot="1" x14ac:dyDescent="0.3">
      <c r="B35" s="127" t="s">
        <v>35</v>
      </c>
      <c r="C35" s="127"/>
      <c r="D35" s="127"/>
      <c r="E35" s="127"/>
      <c r="F35" s="127"/>
      <c r="G35" s="127"/>
      <c r="H35" s="78"/>
      <c r="J35" s="109" t="s">
        <v>36</v>
      </c>
      <c r="K35" s="110"/>
      <c r="L35" s="110"/>
      <c r="M35" s="110"/>
      <c r="N35" s="111"/>
    </row>
    <row r="36" spans="2:14" s="22" customFormat="1" ht="15.75" customHeight="1" x14ac:dyDescent="0.2">
      <c r="B36" s="121" t="s">
        <v>47</v>
      </c>
      <c r="C36" s="122"/>
      <c r="D36" s="122"/>
      <c r="E36" s="122"/>
      <c r="F36" s="122"/>
      <c r="G36" s="123"/>
      <c r="H36" s="89"/>
      <c r="J36" s="112" t="s">
        <v>28</v>
      </c>
      <c r="K36" s="113"/>
      <c r="L36" s="113"/>
      <c r="M36" s="114"/>
      <c r="N36" s="93">
        <v>406.14</v>
      </c>
    </row>
    <row r="37" spans="2:14" s="22" customFormat="1" ht="15.75" customHeight="1" x14ac:dyDescent="0.2">
      <c r="B37" s="115" t="s">
        <v>43</v>
      </c>
      <c r="C37" s="116"/>
      <c r="D37" s="116"/>
      <c r="E37" s="116"/>
      <c r="F37" s="116"/>
      <c r="G37" s="117"/>
      <c r="H37" s="89"/>
      <c r="J37" s="112" t="s">
        <v>30</v>
      </c>
      <c r="K37" s="113"/>
      <c r="L37" s="113"/>
      <c r="M37" s="114"/>
      <c r="N37" s="93">
        <v>297.77</v>
      </c>
    </row>
    <row r="38" spans="2:14" s="22" customFormat="1" ht="15.75" customHeight="1" x14ac:dyDescent="0.2">
      <c r="B38" s="115" t="s">
        <v>44</v>
      </c>
      <c r="C38" s="116"/>
      <c r="D38" s="116"/>
      <c r="E38" s="116"/>
      <c r="F38" s="116"/>
      <c r="G38" s="117"/>
      <c r="H38" s="89"/>
      <c r="J38" s="112" t="s">
        <v>31</v>
      </c>
      <c r="K38" s="113"/>
      <c r="L38" s="113"/>
      <c r="M38" s="114"/>
      <c r="N38" s="94">
        <v>3.61</v>
      </c>
    </row>
    <row r="39" spans="2:14" s="22" customFormat="1" ht="15.75" customHeight="1" x14ac:dyDescent="0.2">
      <c r="B39" s="115" t="s">
        <v>45</v>
      </c>
      <c r="C39" s="116"/>
      <c r="D39" s="116"/>
      <c r="E39" s="116"/>
      <c r="F39" s="116"/>
      <c r="G39" s="117"/>
      <c r="H39" s="89"/>
      <c r="J39" s="112" t="s">
        <v>32</v>
      </c>
      <c r="K39" s="113"/>
      <c r="L39" s="113"/>
      <c r="M39" s="114"/>
      <c r="N39" s="95">
        <v>0.73319999999999996</v>
      </c>
    </row>
    <row r="40" spans="2:14" s="22" customFormat="1" ht="15.75" thickBot="1" x14ac:dyDescent="0.25">
      <c r="B40" s="118" t="s">
        <v>46</v>
      </c>
      <c r="C40" s="119"/>
      <c r="D40" s="119"/>
      <c r="E40" s="119"/>
      <c r="F40" s="119"/>
      <c r="G40" s="120"/>
      <c r="H40" s="89"/>
      <c r="J40" s="112" t="s">
        <v>34</v>
      </c>
      <c r="K40" s="113"/>
      <c r="L40" s="113"/>
      <c r="M40" s="114"/>
      <c r="N40" s="93">
        <v>89.57</v>
      </c>
    </row>
    <row r="41" spans="2:14" s="22" customFormat="1" ht="15.75" x14ac:dyDescent="0.25">
      <c r="B41" s="22" t="s">
        <v>51</v>
      </c>
      <c r="J41" s="106" t="s">
        <v>37</v>
      </c>
      <c r="K41" s="107"/>
      <c r="L41" s="107"/>
      <c r="M41" s="108"/>
      <c r="N41" s="96">
        <v>-5236.5600000000004</v>
      </c>
    </row>
    <row r="42" spans="2:14" s="22" customFormat="1" ht="10.15" customHeight="1" x14ac:dyDescent="0.2">
      <c r="J42" s="76"/>
      <c r="L42" s="77"/>
    </row>
    <row r="43" spans="2:14" s="22" customFormat="1" ht="10.15" customHeight="1" x14ac:dyDescent="0.2">
      <c r="J43" s="76"/>
      <c r="L43" s="77"/>
    </row>
    <row r="44" spans="2:14" s="22" customFormat="1" ht="10.15" customHeight="1" x14ac:dyDescent="0.2">
      <c r="J44" s="76"/>
      <c r="L44" s="77"/>
    </row>
    <row r="45" spans="2:14" s="22" customFormat="1" ht="10.15" customHeight="1" x14ac:dyDescent="0.2">
      <c r="B45" s="97" t="s">
        <v>41</v>
      </c>
      <c r="C45" s="98"/>
      <c r="D45" s="98"/>
      <c r="E45" s="98"/>
      <c r="F45" s="98"/>
      <c r="G45" s="98"/>
      <c r="H45" s="98"/>
      <c r="I45" s="98"/>
      <c r="J45" s="98"/>
      <c r="K45" s="98"/>
      <c r="L45" s="98"/>
      <c r="M45" s="98"/>
      <c r="N45" s="99"/>
    </row>
    <row r="46" spans="2:14" s="22" customFormat="1" ht="10.15" customHeight="1" x14ac:dyDescent="0.2">
      <c r="B46" s="100"/>
      <c r="C46" s="101"/>
      <c r="D46" s="101"/>
      <c r="E46" s="101"/>
      <c r="F46" s="101"/>
      <c r="G46" s="101"/>
      <c r="H46" s="101"/>
      <c r="I46" s="101"/>
      <c r="J46" s="101"/>
      <c r="K46" s="101"/>
      <c r="L46" s="101"/>
      <c r="M46" s="101"/>
      <c r="N46" s="102"/>
    </row>
    <row r="47" spans="2:14" s="22" customFormat="1" ht="10.15" customHeight="1" x14ac:dyDescent="0.2">
      <c r="B47" s="100"/>
      <c r="C47" s="101"/>
      <c r="D47" s="101"/>
      <c r="E47" s="101"/>
      <c r="F47" s="101"/>
      <c r="G47" s="101"/>
      <c r="H47" s="101"/>
      <c r="I47" s="101"/>
      <c r="J47" s="101"/>
      <c r="K47" s="101"/>
      <c r="L47" s="101"/>
      <c r="M47" s="101"/>
      <c r="N47" s="102"/>
    </row>
    <row r="48" spans="2:14" s="22" customFormat="1" ht="10.15" customHeight="1" x14ac:dyDescent="0.2">
      <c r="B48" s="100"/>
      <c r="C48" s="101"/>
      <c r="D48" s="101"/>
      <c r="E48" s="101"/>
      <c r="F48" s="101"/>
      <c r="G48" s="101"/>
      <c r="H48" s="101"/>
      <c r="I48" s="101"/>
      <c r="J48" s="101"/>
      <c r="K48" s="101"/>
      <c r="L48" s="101"/>
      <c r="M48" s="101"/>
      <c r="N48" s="102"/>
    </row>
    <row r="49" spans="2:14" s="22" customFormat="1" ht="10.15" customHeight="1" x14ac:dyDescent="0.2">
      <c r="B49" s="100"/>
      <c r="C49" s="101"/>
      <c r="D49" s="101"/>
      <c r="E49" s="101"/>
      <c r="F49" s="101"/>
      <c r="G49" s="101"/>
      <c r="H49" s="101"/>
      <c r="I49" s="101"/>
      <c r="J49" s="101"/>
      <c r="K49" s="101"/>
      <c r="L49" s="101"/>
      <c r="M49" s="101"/>
      <c r="N49" s="102"/>
    </row>
    <row r="50" spans="2:14" s="22" customFormat="1" ht="10.15" customHeight="1" x14ac:dyDescent="0.2">
      <c r="B50" s="100"/>
      <c r="C50" s="101"/>
      <c r="D50" s="101"/>
      <c r="E50" s="101"/>
      <c r="F50" s="101"/>
      <c r="G50" s="101"/>
      <c r="H50" s="101"/>
      <c r="I50" s="101"/>
      <c r="J50" s="101"/>
      <c r="K50" s="101"/>
      <c r="L50" s="101"/>
      <c r="M50" s="101"/>
      <c r="N50" s="102"/>
    </row>
    <row r="51" spans="2:14" s="22" customFormat="1" ht="10.15" customHeight="1" x14ac:dyDescent="0.2">
      <c r="B51" s="103"/>
      <c r="C51" s="104"/>
      <c r="D51" s="104"/>
      <c r="E51" s="104"/>
      <c r="F51" s="104"/>
      <c r="G51" s="104"/>
      <c r="H51" s="104"/>
      <c r="I51" s="104"/>
      <c r="J51" s="104"/>
      <c r="K51" s="104"/>
      <c r="L51" s="104"/>
      <c r="M51" s="104"/>
      <c r="N51" s="105"/>
    </row>
    <row r="52" spans="2:14" s="22" customFormat="1" ht="10.15" customHeight="1" x14ac:dyDescent="0.2">
      <c r="J52" s="76"/>
      <c r="L52" s="77"/>
    </row>
    <row r="53" spans="2:14" s="22" customFormat="1" ht="10.15" customHeight="1" x14ac:dyDescent="0.2">
      <c r="J53" s="76"/>
      <c r="L53" s="77"/>
    </row>
    <row r="54" spans="2:14" s="22" customFormat="1" ht="10.15" customHeight="1" x14ac:dyDescent="0.2">
      <c r="J54" s="76"/>
      <c r="L54" s="77"/>
    </row>
  </sheetData>
  <mergeCells count="44">
    <mergeCell ref="B1:N1"/>
    <mergeCell ref="B2:N2"/>
    <mergeCell ref="B5:C5"/>
    <mergeCell ref="D5:G5"/>
    <mergeCell ref="K5:L5"/>
    <mergeCell ref="M5:N5"/>
    <mergeCell ref="B27:G27"/>
    <mergeCell ref="J27:N27"/>
    <mergeCell ref="C28:D28"/>
    <mergeCell ref="E28:F28"/>
    <mergeCell ref="J28:M28"/>
    <mergeCell ref="B6:C6"/>
    <mergeCell ref="D6:G6"/>
    <mergeCell ref="K6:L6"/>
    <mergeCell ref="M6:N6"/>
    <mergeCell ref="B8:G8"/>
    <mergeCell ref="I8:L8"/>
    <mergeCell ref="M8:N8"/>
    <mergeCell ref="J32:M32"/>
    <mergeCell ref="B35:G35"/>
    <mergeCell ref="C32:D32"/>
    <mergeCell ref="E32:F32"/>
    <mergeCell ref="C29:D29"/>
    <mergeCell ref="E29:F29"/>
    <mergeCell ref="J29:M29"/>
    <mergeCell ref="C30:D30"/>
    <mergeCell ref="E30:F30"/>
    <mergeCell ref="J30:M30"/>
    <mergeCell ref="C31:D31"/>
    <mergeCell ref="E31:F31"/>
    <mergeCell ref="J31:M31"/>
    <mergeCell ref="B45:N51"/>
    <mergeCell ref="J41:M41"/>
    <mergeCell ref="J35:N35"/>
    <mergeCell ref="J36:M36"/>
    <mergeCell ref="J37:M37"/>
    <mergeCell ref="J38:M38"/>
    <mergeCell ref="J39:M39"/>
    <mergeCell ref="J40:M40"/>
    <mergeCell ref="B39:G39"/>
    <mergeCell ref="B40:G40"/>
    <mergeCell ref="B37:G37"/>
    <mergeCell ref="B38:G38"/>
    <mergeCell ref="B36:G36"/>
  </mergeCells>
  <phoneticPr fontId="0" type="noConversion"/>
  <pageMargins left="0.7" right="0.7" top="0.75" bottom="0.75" header="0.3" footer="0.3"/>
  <pageSetup scale="6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Dental-Vision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2026-03-03T21:21:17Z</cp:lastPrinted>
  <dcterms:created xsi:type="dcterms:W3CDTF">2010-01-16T14:52:12Z</dcterms:created>
  <dcterms:modified xsi:type="dcterms:W3CDTF">2026-07-01T19:38:37Z</dcterms:modified>
</cp:coreProperties>
</file>