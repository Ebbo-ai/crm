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B4E9F713-9852-42C8-95D4-D8D24031583F}" xr6:coauthVersionLast="47" xr6:coauthVersionMax="47" xr10:uidLastSave="{00000000-0000-0000-0000-000000000000}"/>
  <bookViews>
    <workbookView xWindow="-105" yWindow="0" windowWidth="26010" windowHeight="20985" xr2:uid="{00000000-000D-0000-FFFF-FFFF00000000}"/>
  </bookViews>
  <sheets>
    <sheet name="Summary" sheetId="3" r:id="rId1"/>
    <sheet name="Union" sheetId="2" r:id="rId2"/>
    <sheet name="Non Union"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3" i="3" l="1"/>
  <c r="N23" i="1"/>
  <c r="F22" i="3"/>
  <c r="C22" i="3"/>
  <c r="N22" i="3"/>
  <c r="N22" i="1"/>
  <c r="N22" i="2"/>
  <c r="N21" i="3"/>
  <c r="I17" i="1"/>
  <c r="H13" i="2"/>
  <c r="H14" i="2"/>
  <c r="H15" i="2"/>
  <c r="H16" i="2"/>
  <c r="H17" i="2"/>
  <c r="H18" i="2"/>
  <c r="H19" i="2"/>
  <c r="H20" i="2"/>
  <c r="H21" i="2"/>
  <c r="H22" i="2"/>
  <c r="H23" i="2"/>
  <c r="C12" i="3"/>
  <c r="F12" i="3"/>
  <c r="C13" i="3"/>
  <c r="F13" i="3"/>
  <c r="C14" i="3"/>
  <c r="F14" i="3"/>
  <c r="C15" i="3"/>
  <c r="F15" i="3"/>
  <c r="C16" i="3"/>
  <c r="F16" i="3"/>
  <c r="C17" i="3"/>
  <c r="F17" i="3"/>
  <c r="C18" i="3"/>
  <c r="F18" i="3"/>
  <c r="C19" i="3"/>
  <c r="F19" i="3"/>
  <c r="C20" i="3"/>
  <c r="F20" i="3"/>
  <c r="C21" i="3"/>
  <c r="F21" i="3"/>
  <c r="C23" i="3"/>
  <c r="F23" i="3"/>
  <c r="G19" i="3" l="1"/>
  <c r="F25" i="3"/>
  <c r="G22" i="3"/>
  <c r="G20" i="3"/>
  <c r="G15" i="3"/>
  <c r="G16" i="3"/>
  <c r="G14" i="3"/>
  <c r="G12" i="3"/>
  <c r="C25" i="3"/>
  <c r="G23" i="3"/>
  <c r="G21" i="3"/>
  <c r="G18" i="3"/>
  <c r="G17" i="3"/>
  <c r="G13" i="3"/>
  <c r="L13" i="3"/>
  <c r="L14" i="3"/>
  <c r="L15" i="3"/>
  <c r="L16" i="3"/>
  <c r="L17" i="3"/>
  <c r="L18" i="3"/>
  <c r="L19" i="3"/>
  <c r="L20" i="3"/>
  <c r="L21" i="3"/>
  <c r="L22" i="3"/>
  <c r="L23" i="3"/>
  <c r="K13" i="3"/>
  <c r="K14" i="3"/>
  <c r="K15" i="3"/>
  <c r="K16" i="3"/>
  <c r="K17" i="3"/>
  <c r="K18" i="3"/>
  <c r="K19" i="3"/>
  <c r="K20" i="3"/>
  <c r="K21" i="3"/>
  <c r="K22" i="3"/>
  <c r="K23" i="3"/>
  <c r="J13" i="3"/>
  <c r="J14" i="3"/>
  <c r="J15" i="3"/>
  <c r="J16" i="3"/>
  <c r="J17" i="3"/>
  <c r="J18" i="3"/>
  <c r="J19" i="3"/>
  <c r="J20" i="3"/>
  <c r="J21" i="3"/>
  <c r="J22" i="3"/>
  <c r="J23" i="3"/>
  <c r="L12" i="3"/>
  <c r="K12" i="3"/>
  <c r="J12" i="3"/>
  <c r="G32" i="2"/>
  <c r="G29" i="2"/>
  <c r="L25" i="2"/>
  <c r="K25" i="2"/>
  <c r="J25" i="2"/>
  <c r="F25" i="2"/>
  <c r="C25" i="2"/>
  <c r="I23" i="2"/>
  <c r="M23" i="2" s="1"/>
  <c r="G23" i="2"/>
  <c r="I22" i="2"/>
  <c r="M22" i="2" s="1"/>
  <c r="G22" i="2"/>
  <c r="I21" i="2"/>
  <c r="N21" i="2" s="1"/>
  <c r="G21" i="2"/>
  <c r="I20" i="2"/>
  <c r="M20" i="2" s="1"/>
  <c r="G20" i="2"/>
  <c r="I19" i="2"/>
  <c r="N19" i="2" s="1"/>
  <c r="G19" i="2"/>
  <c r="I18" i="2"/>
  <c r="M18" i="2" s="1"/>
  <c r="G18" i="2"/>
  <c r="I17" i="2"/>
  <c r="N17" i="2" s="1"/>
  <c r="G17" i="2"/>
  <c r="I16" i="2"/>
  <c r="M16" i="2" s="1"/>
  <c r="G16" i="2"/>
  <c r="I15" i="2"/>
  <c r="N15" i="2" s="1"/>
  <c r="G15" i="2"/>
  <c r="I14" i="2"/>
  <c r="N14" i="2" s="1"/>
  <c r="G14" i="2"/>
  <c r="I13" i="2"/>
  <c r="G13" i="2"/>
  <c r="I12" i="2"/>
  <c r="H12" i="2"/>
  <c r="G12" i="2"/>
  <c r="N23" i="2" l="1"/>
  <c r="M17" i="2"/>
  <c r="M12" i="2"/>
  <c r="N12" i="2"/>
  <c r="N13" i="2"/>
  <c r="M13" i="2"/>
  <c r="M21" i="2"/>
  <c r="N20" i="2"/>
  <c r="M19" i="2"/>
  <c r="N18" i="2"/>
  <c r="N16" i="2"/>
  <c r="M15" i="2"/>
  <c r="M14" i="2"/>
  <c r="G25" i="3"/>
  <c r="N29" i="2"/>
  <c r="N28" i="2"/>
  <c r="K25" i="3"/>
  <c r="J25" i="3"/>
  <c r="G25" i="2"/>
  <c r="N32" i="2" s="1"/>
  <c r="H25" i="2"/>
  <c r="L25" i="3"/>
  <c r="I25" i="2"/>
  <c r="N31" i="2"/>
  <c r="I12" i="1"/>
  <c r="I12" i="3" s="1"/>
  <c r="N25" i="2" l="1"/>
  <c r="N30" i="2"/>
  <c r="N30" i="3"/>
  <c r="N31" i="3"/>
  <c r="N28" i="3"/>
  <c r="N29" i="3"/>
  <c r="N32" i="3"/>
  <c r="M25" i="2"/>
  <c r="L25" i="1"/>
  <c r="K25" i="1"/>
  <c r="J25" i="1"/>
  <c r="G23" i="1"/>
  <c r="H23" i="1"/>
  <c r="I23" i="1"/>
  <c r="I23" i="3" s="1"/>
  <c r="H23" i="3" l="1"/>
  <c r="M23" i="1"/>
  <c r="G22" i="1"/>
  <c r="H22" i="1"/>
  <c r="I22" i="1"/>
  <c r="M23" i="3" l="1"/>
  <c r="H22" i="3"/>
  <c r="M22" i="1"/>
  <c r="I22" i="3"/>
  <c r="G21" i="1"/>
  <c r="H21" i="1"/>
  <c r="I21" i="1"/>
  <c r="M22" i="3" l="1"/>
  <c r="H21" i="3"/>
  <c r="N21" i="1"/>
  <c r="M21" i="1"/>
  <c r="I21" i="3"/>
  <c r="G20" i="1"/>
  <c r="H20" i="1"/>
  <c r="I20" i="1"/>
  <c r="M21" i="3" l="1"/>
  <c r="H20" i="3"/>
  <c r="M20" i="1"/>
  <c r="N20" i="1"/>
  <c r="I20" i="3"/>
  <c r="G19" i="1"/>
  <c r="H19" i="1"/>
  <c r="I19" i="1"/>
  <c r="N20" i="3" l="1"/>
  <c r="M20" i="3"/>
  <c r="H19" i="3"/>
  <c r="M19" i="1"/>
  <c r="N19" i="1"/>
  <c r="I19" i="3"/>
  <c r="G18" i="1"/>
  <c r="H18" i="1"/>
  <c r="I18" i="1"/>
  <c r="N19" i="3" l="1"/>
  <c r="M19" i="3"/>
  <c r="H18" i="3"/>
  <c r="N18" i="1"/>
  <c r="M18" i="1"/>
  <c r="I18" i="3"/>
  <c r="I16" i="1"/>
  <c r="N18" i="3" l="1"/>
  <c r="M18" i="3"/>
  <c r="I16" i="3"/>
  <c r="G12" i="1"/>
  <c r="H12" i="1"/>
  <c r="G13" i="1"/>
  <c r="H13" i="1"/>
  <c r="I13" i="1"/>
  <c r="I13" i="3" s="1"/>
  <c r="G14" i="1"/>
  <c r="H14" i="1"/>
  <c r="I14" i="1"/>
  <c r="I14" i="3" s="1"/>
  <c r="G15" i="1"/>
  <c r="H15" i="1"/>
  <c r="I15" i="1"/>
  <c r="G16" i="1"/>
  <c r="H16" i="1"/>
  <c r="G17" i="1"/>
  <c r="H17" i="1"/>
  <c r="C25" i="1"/>
  <c r="F25" i="1"/>
  <c r="G29" i="1"/>
  <c r="G32" i="1"/>
  <c r="H13" i="3" l="1"/>
  <c r="N13" i="3" s="1"/>
  <c r="N13" i="1"/>
  <c r="M13" i="1"/>
  <c r="N14" i="1"/>
  <c r="H12" i="3"/>
  <c r="N12" i="3" s="1"/>
  <c r="M12" i="1"/>
  <c r="N12" i="1"/>
  <c r="H17" i="3"/>
  <c r="M17" i="1"/>
  <c r="N17" i="1"/>
  <c r="H16" i="3"/>
  <c r="N16" i="3" s="1"/>
  <c r="M16" i="1"/>
  <c r="N16" i="1"/>
  <c r="H15" i="3"/>
  <c r="M15" i="1"/>
  <c r="N15" i="1"/>
  <c r="H14" i="3"/>
  <c r="M14" i="1"/>
  <c r="I17" i="3"/>
  <c r="I15" i="3"/>
  <c r="H25" i="1"/>
  <c r="I25" i="1"/>
  <c r="G25" i="1"/>
  <c r="N32" i="1" s="1"/>
  <c r="N29" i="1"/>
  <c r="N31" i="1"/>
  <c r="N28" i="1"/>
  <c r="M13" i="3" l="1"/>
  <c r="M12" i="3"/>
  <c r="N15" i="3"/>
  <c r="M14" i="3"/>
  <c r="N14" i="3"/>
  <c r="N17" i="3"/>
  <c r="M17" i="3"/>
  <c r="M16" i="3"/>
  <c r="N25" i="1"/>
  <c r="M15" i="3"/>
  <c r="I25" i="3"/>
  <c r="M25" i="1"/>
  <c r="N30" i="1"/>
  <c r="M25" i="3" l="1"/>
  <c r="H25" i="3"/>
  <c r="N25" i="3" s="1"/>
</calcChain>
</file>

<file path=xl/sharedStrings.xml><?xml version="1.0" encoding="utf-8"?>
<sst xmlns="http://schemas.openxmlformats.org/spreadsheetml/2006/main" count="157" uniqueCount="58">
  <si>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</si>
  <si>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</si>
  <si>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</si>
  <si>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</si>
  <si>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</si>
  <si>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</si>
  <si>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</si>
  <si>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</si>
  <si>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</si>
  <si>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</si>
  <si>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</si>
  <si>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</si>
  <si>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</si>
  <si>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</si>
  <si>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</si>
  <si>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</si>
  <si>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</si>
  <si>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</si>
  <si>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</si>
  <si>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</si>
  <si>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</si>
  <si>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</si>
  <si>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</si>
  <si>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</si>
  <si>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</si>
  <si>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</si>
  <si>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</si>
  <si>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</si>
  <si>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</si>
  <si>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</si>
  <si>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</si>
  <si>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</si>
  <si>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</si>
  <si>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</si>
  <si>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</si>
  <si>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</si>
  <si>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</si>
  <si>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Prior Year Data</t>
  </si>
  <si>
    <t>Surplus (Deficit)</t>
  </si>
  <si>
    <t>Monthly Performance Report - Budgeted vs Actual Claims Paid</t>
  </si>
  <si>
    <t>Dental</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</si>
  <si>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</si>
  <si>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Ortho covered for Adults and Children (same benefits)</t>
  </si>
  <si>
    <t>S474</t>
  </si>
  <si>
    <t>Mahoning County Job &amp; Family Services</t>
  </si>
  <si>
    <t>100% of the first $200</t>
  </si>
  <si>
    <t>Annual Maximum Amount $1,000</t>
  </si>
  <si>
    <t>100% of the first $100</t>
  </si>
  <si>
    <t>80% of the next $100; 50% of the next $1,640.</t>
  </si>
  <si>
    <t>Summary</t>
  </si>
  <si>
    <t>Union Plan</t>
  </si>
  <si>
    <t>S474DEN UNION</t>
  </si>
  <si>
    <t>Non Union</t>
  </si>
  <si>
    <t>S474DEN NON UNION</t>
  </si>
  <si>
    <t>80% of the next $100; 50% of the next $1,440.</t>
  </si>
  <si>
    <t>Based on a 2 year contract</t>
  </si>
  <si>
    <t>Based on a 2 year contract 2023-2025</t>
  </si>
  <si>
    <t>Based on a 2 year contract 2025-2027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</si>
</sst>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8"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sz val="12"/>
      <color theme="0"/>
      <name val="Arial"/>
      <family val="2"/>
    </font>
    <font>
      <b/>
      <sz val="12"/>
      <color rgb="FF00B050"/>
      <name val="Arial"/>
      <family val="2"/>
    </font>
    <font>
      <sz val="12"/>
      <color rgb="FF00B050"/>
      <name val="Arial"/>
      <family val="2"/>
    </font>
    <font>
      <u/>
      <sz val="12"/>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52">
    <xf numFmtId="0" fontId="0" fillId="0" borderId="0" xfId="0"/>
    <xf numFmtId="0" fontId="3" fillId="0" borderId="0" xfId="0" applyFont="1"/>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165" fontId="8" fillId="0" borderId="0" xfId="1" applyNumberFormat="1" applyFont="1"/>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4" fillId="0" borderId="0" xfId="0" applyFont="1" applyAlignment="1">
      <alignment horizontal="center"/>
    </xf>
    <xf numFmtId="2" fontId="12" fillId="0" borderId="1" xfId="0" applyNumberFormat="1" applyFont="1" applyBorder="1" applyAlignment="1">
      <alignment horizontal="center" vertical="center"/>
    </xf>
    <xf numFmtId="0" fontId="13" fillId="0" borderId="0" xfId="0" applyFont="1"/>
    <xf numFmtId="0" fontId="12" fillId="0" borderId="2" xfId="0" applyFont="1" applyBorder="1"/>
    <xf numFmtId="166" fontId="12" fillId="0" borderId="0" xfId="0" applyNumberFormat="1" applyFont="1" applyAlignment="1">
      <alignment horizontal="right"/>
    </xf>
    <xf numFmtId="0" fontId="12" fillId="0" borderId="0" xfId="0" applyFont="1" applyAlignment="1">
      <alignment horizontal="right"/>
    </xf>
    <xf numFmtId="0" fontId="12" fillId="0" borderId="3" xfId="0" applyFont="1" applyBorder="1" applyAlignment="1">
      <alignment horizontal="right"/>
    </xf>
    <xf numFmtId="0" fontId="12" fillId="0" borderId="4" xfId="0" applyFont="1" applyBorder="1" applyAlignment="1">
      <alignment horizontal="center"/>
    </xf>
    <xf numFmtId="0" fontId="12" fillId="0" borderId="5" xfId="0" applyFont="1" applyBorder="1" applyAlignment="1">
      <alignment horizontal="center" wrapText="1"/>
    </xf>
    <xf numFmtId="0" fontId="12" fillId="0" borderId="6" xfId="0" applyFont="1" applyBorder="1" applyAlignment="1">
      <alignment horizontal="center"/>
    </xf>
    <xf numFmtId="0" fontId="12" fillId="0" borderId="5" xfId="0" applyFont="1" applyBorder="1" applyAlignment="1">
      <alignment horizontal="center"/>
    </xf>
    <xf numFmtId="0" fontId="12" fillId="0" borderId="7" xfId="0" applyFont="1" applyBorder="1" applyAlignment="1">
      <alignment horizontal="right"/>
    </xf>
    <xf numFmtId="166" fontId="12" fillId="0" borderId="8" xfId="0" applyNumberFormat="1" applyFont="1" applyBorder="1" applyAlignment="1">
      <alignment horizontal="right"/>
    </xf>
    <xf numFmtId="165" fontId="12" fillId="0" borderId="0" xfId="1" applyNumberFormat="1" applyFont="1" applyAlignment="1">
      <alignment horizontal="right"/>
    </xf>
    <xf numFmtId="166" fontId="12" fillId="0" borderId="9" xfId="0" applyNumberFormat="1" applyFont="1" applyBorder="1" applyAlignment="1">
      <alignment horizontal="center"/>
    </xf>
    <xf numFmtId="0" fontId="12" fillId="0" borderId="8" xfId="0" applyFont="1" applyBorder="1" applyAlignment="1">
      <alignment horizontal="center"/>
    </xf>
    <xf numFmtId="0" fontId="12" fillId="0" borderId="10" xfId="0" applyFont="1" applyBorder="1" applyAlignment="1">
      <alignment horizontal="center" wrapText="1"/>
    </xf>
    <xf numFmtId="0" fontId="12" fillId="0" borderId="7" xfId="0" applyFont="1" applyBorder="1" applyAlignment="1">
      <alignment horizontal="center"/>
    </xf>
    <xf numFmtId="0" fontId="12" fillId="0" borderId="10" xfId="0" applyFont="1" applyBorder="1" applyAlignment="1">
      <alignment horizontal="center"/>
    </xf>
    <xf numFmtId="17" fontId="13" fillId="0" borderId="6" xfId="0" quotePrefix="1" applyNumberFormat="1" applyFont="1" applyBorder="1" applyAlignment="1">
      <alignment horizontal="right"/>
    </xf>
    <xf numFmtId="165" fontId="13" fillId="0" borderId="4" xfId="1" applyNumberFormat="1" applyFont="1" applyBorder="1" applyAlignment="1">
      <alignment horizontal="right"/>
    </xf>
    <xf numFmtId="165" fontId="13" fillId="0" borderId="5" xfId="1" applyNumberFormat="1" applyFont="1" applyBorder="1" applyAlignment="1">
      <alignment horizontal="right"/>
    </xf>
    <xf numFmtId="44" fontId="13" fillId="0" borderId="11" xfId="2" applyFont="1" applyBorder="1" applyAlignment="1">
      <alignment horizontal="right"/>
    </xf>
    <xf numFmtId="44" fontId="13" fillId="0" borderId="6" xfId="2" applyFont="1" applyBorder="1" applyAlignment="1">
      <alignment horizontal="right"/>
    </xf>
    <xf numFmtId="44" fontId="13" fillId="0" borderId="4" xfId="2" applyFont="1" applyBorder="1" applyAlignment="1">
      <alignment horizontal="center"/>
    </xf>
    <xf numFmtId="44" fontId="13" fillId="0" borderId="4" xfId="2" applyFont="1" applyBorder="1"/>
    <xf numFmtId="165" fontId="13" fillId="0" borderId="5" xfId="1" applyNumberFormat="1" applyFont="1" applyBorder="1" applyAlignment="1">
      <alignment horizontal="center" wrapText="1"/>
    </xf>
    <xf numFmtId="44" fontId="13" fillId="0" borderId="6" xfId="2" applyFont="1" applyBorder="1"/>
    <xf numFmtId="10" fontId="13" fillId="0" borderId="5" xfId="3" applyNumberFormat="1" applyFont="1" applyBorder="1"/>
    <xf numFmtId="165" fontId="13" fillId="0" borderId="0" xfId="0" applyNumberFormat="1" applyFont="1"/>
    <xf numFmtId="17" fontId="13" fillId="0" borderId="2" xfId="0" applyNumberFormat="1" applyFont="1" applyBorder="1" applyAlignment="1">
      <alignment horizontal="right"/>
    </xf>
    <xf numFmtId="165" fontId="13" fillId="0" borderId="0" xfId="1" applyNumberFormat="1" applyFont="1" applyAlignment="1">
      <alignment horizontal="right"/>
    </xf>
    <xf numFmtId="165" fontId="13" fillId="0" borderId="12" xfId="1" applyNumberFormat="1" applyFont="1" applyBorder="1" applyAlignment="1">
      <alignment horizontal="right"/>
    </xf>
    <xf numFmtId="44" fontId="13" fillId="0" borderId="3" xfId="2" applyFont="1" applyBorder="1" applyAlignment="1">
      <alignment horizontal="right"/>
    </xf>
    <xf numFmtId="44" fontId="13" fillId="0" borderId="2" xfId="2" applyFont="1" applyBorder="1" applyAlignment="1">
      <alignment horizontal="right"/>
    </xf>
    <xf numFmtId="44" fontId="13" fillId="0" borderId="0" xfId="2" applyFont="1" applyAlignment="1">
      <alignment horizontal="right"/>
    </xf>
    <xf numFmtId="165" fontId="13" fillId="0" borderId="0" xfId="1" applyNumberFormat="1" applyFont="1"/>
    <xf numFmtId="17" fontId="13" fillId="0" borderId="7" xfId="0" applyNumberFormat="1" applyFont="1" applyBorder="1" applyAlignment="1">
      <alignment horizontal="right"/>
    </xf>
    <xf numFmtId="165" fontId="13" fillId="0" borderId="8" xfId="1" applyNumberFormat="1" applyFont="1" applyBorder="1" applyAlignment="1">
      <alignment horizontal="right"/>
    </xf>
    <xf numFmtId="165" fontId="13" fillId="0" borderId="10" xfId="1" applyNumberFormat="1" applyFont="1" applyBorder="1" applyAlignment="1">
      <alignment horizontal="right"/>
    </xf>
    <xf numFmtId="44" fontId="13" fillId="0" borderId="9" xfId="2" applyFont="1" applyBorder="1" applyAlignment="1">
      <alignment horizontal="right"/>
    </xf>
    <xf numFmtId="44" fontId="13" fillId="0" borderId="7" xfId="2" applyFont="1" applyBorder="1" applyAlignment="1">
      <alignment horizontal="right"/>
    </xf>
    <xf numFmtId="44" fontId="13" fillId="0" borderId="8" xfId="2" applyFont="1" applyBorder="1" applyAlignment="1">
      <alignment horizontal="center"/>
    </xf>
    <xf numFmtId="44" fontId="13" fillId="0" borderId="8" xfId="2" applyFont="1" applyBorder="1"/>
    <xf numFmtId="165" fontId="13" fillId="0" borderId="10" xfId="1" applyNumberFormat="1" applyFont="1" applyBorder="1" applyAlignment="1">
      <alignment horizontal="center" wrapText="1"/>
    </xf>
    <xf numFmtId="44" fontId="13" fillId="0" borderId="7" xfId="2" applyFont="1" applyBorder="1"/>
    <xf numFmtId="10" fontId="14" fillId="0" borderId="10" xfId="3" applyNumberFormat="1" applyFont="1" applyBorder="1" applyAlignment="1">
      <alignment horizontal="center"/>
    </xf>
    <xf numFmtId="0" fontId="12" fillId="0" borderId="13" xfId="0" applyFont="1" applyBorder="1" applyAlignment="1">
      <alignment horizontal="right"/>
    </xf>
    <xf numFmtId="165" fontId="12" fillId="0" borderId="14" xfId="1" applyNumberFormat="1" applyFont="1" applyBorder="1" applyAlignment="1">
      <alignment horizontal="right"/>
    </xf>
    <xf numFmtId="44" fontId="12" fillId="0" borderId="13" xfId="2" applyFont="1" applyBorder="1"/>
    <xf numFmtId="44" fontId="12" fillId="0" borderId="14" xfId="2" applyFont="1" applyBorder="1"/>
    <xf numFmtId="44" fontId="12" fillId="0" borderId="14" xfId="2" applyFont="1" applyBorder="1" applyAlignment="1">
      <alignment horizontal="right"/>
    </xf>
    <xf numFmtId="165" fontId="12" fillId="0" borderId="15" xfId="1" applyNumberFormat="1" applyFont="1" applyBorder="1" applyAlignment="1">
      <alignment horizontal="center" wrapText="1"/>
    </xf>
    <xf numFmtId="10" fontId="12" fillId="0" borderId="15" xfId="0" applyNumberFormat="1" applyFont="1" applyBorder="1" applyAlignment="1">
      <alignment horizontal="right"/>
    </xf>
    <xf numFmtId="0" fontId="12" fillId="0" borderId="0" xfId="0" applyFont="1"/>
    <xf numFmtId="0" fontId="13" fillId="0" borderId="0" xfId="0" applyFont="1" applyAlignment="1">
      <alignment horizontal="center"/>
    </xf>
    <xf numFmtId="0" fontId="13" fillId="0" borderId="0" xfId="0" applyFont="1" applyAlignment="1">
      <alignment horizontal="center" wrapText="1"/>
    </xf>
    <xf numFmtId="0" fontId="12" fillId="0" borderId="0" xfId="0" applyFont="1" applyAlignment="1">
      <alignment horizontal="center"/>
    </xf>
    <xf numFmtId="0" fontId="13" fillId="0" borderId="16" xfId="0" applyFont="1" applyBorder="1"/>
    <xf numFmtId="0" fontId="13" fillId="0" borderId="17" xfId="0" applyFont="1" applyBorder="1" applyAlignment="1">
      <alignment horizontal="center"/>
    </xf>
    <xf numFmtId="0" fontId="13" fillId="0" borderId="17" xfId="0" applyFont="1" applyBorder="1" applyAlignment="1">
      <alignment horizontal="right"/>
    </xf>
    <xf numFmtId="167" fontId="13" fillId="0" borderId="17" xfId="0" applyNumberFormat="1" applyFont="1" applyBorder="1" applyAlignment="1">
      <alignment horizontal="center"/>
    </xf>
    <xf numFmtId="167" fontId="13" fillId="0" borderId="0" xfId="0" applyNumberFormat="1" applyFont="1" applyAlignment="1">
      <alignment horizontal="center"/>
    </xf>
    <xf numFmtId="165" fontId="13" fillId="0" borderId="17" xfId="1" applyNumberFormat="1" applyFont="1" applyBorder="1" applyAlignment="1">
      <alignment horizontal="right"/>
    </xf>
    <xf numFmtId="167" fontId="13" fillId="0" borderId="0" xfId="0" applyNumberFormat="1" applyFont="1" applyAlignment="1">
      <alignment horizontal="right"/>
    </xf>
    <xf numFmtId="0" fontId="13" fillId="0" borderId="0" xfId="0" applyFont="1" applyAlignment="1">
      <alignment horizontal="left"/>
    </xf>
    <xf numFmtId="8" fontId="13" fillId="0" borderId="0" xfId="0" applyNumberFormat="1" applyFont="1"/>
    <xf numFmtId="3" fontId="13" fillId="0" borderId="0" xfId="0" applyNumberFormat="1" applyFont="1" applyAlignment="1">
      <alignment horizontal="left"/>
    </xf>
    <xf numFmtId="44" fontId="16" fillId="0" borderId="17" xfId="2" applyFont="1" applyBorder="1"/>
    <xf numFmtId="43" fontId="16" fillId="0" borderId="17" xfId="1" applyFont="1" applyBorder="1"/>
    <xf numFmtId="10" fontId="16" fillId="0" borderId="17" xfId="0" applyNumberFormat="1" applyFont="1" applyBorder="1"/>
    <xf numFmtId="10" fontId="13" fillId="0" borderId="12" xfId="3" applyNumberFormat="1" applyFont="1" applyBorder="1" applyAlignment="1">
      <alignment horizontal="right"/>
    </xf>
    <xf numFmtId="44" fontId="13" fillId="0" borderId="17" xfId="2" applyFont="1" applyBorder="1"/>
    <xf numFmtId="43" fontId="13" fillId="0" borderId="17" xfId="1" applyFont="1" applyBorder="1"/>
    <xf numFmtId="10" fontId="13" fillId="0" borderId="17" xfId="0" applyNumberFormat="1" applyFont="1" applyBorder="1"/>
    <xf numFmtId="16" fontId="2" fillId="0" borderId="0" xfId="0" applyNumberFormat="1" applyFont="1" applyAlignment="1">
      <alignment horizontal="right"/>
    </xf>
    <xf numFmtId="0" fontId="13" fillId="0" borderId="0" xfId="0" applyFont="1" applyAlignment="1">
      <alignment horizontal="right"/>
    </xf>
    <xf numFmtId="165" fontId="13" fillId="0" borderId="0" xfId="1" applyNumberFormat="1" applyFont="1" applyBorder="1" applyAlignment="1">
      <alignment horizontal="right"/>
    </xf>
    <xf numFmtId="3" fontId="13" fillId="0" borderId="0" xfId="0" applyNumberFormat="1" applyFont="1" applyAlignment="1">
      <alignment horizontal="left"/>
    </xf>
    <xf numFmtId="0" fontId="16" fillId="0" borderId="16" xfId="0" applyFont="1" applyBorder="1" applyAlignment="1">
      <alignment horizontal="right"/>
    </xf>
    <xf numFmtId="0" fontId="16" fillId="0" borderId="21" xfId="0" applyFont="1" applyBorder="1" applyAlignment="1">
      <alignment horizontal="right"/>
    </xf>
    <xf numFmtId="0" fontId="16" fillId="0" borderId="22" xfId="0" applyFont="1" applyBorder="1" applyAlignment="1">
      <alignment horizontal="right"/>
    </xf>
    <xf numFmtId="0" fontId="15" fillId="0" borderId="16" xfId="0" applyFont="1" applyBorder="1" applyAlignment="1">
      <alignment horizontal="right"/>
    </xf>
    <xf numFmtId="0" fontId="15" fillId="0" borderId="21" xfId="0" applyFont="1" applyBorder="1" applyAlignment="1">
      <alignment horizontal="right"/>
    </xf>
    <xf numFmtId="0" fontId="15" fillId="0" borderId="22" xfId="0" applyFont="1" applyBorder="1" applyAlignment="1">
      <alignment horizontal="right"/>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0" xfId="0" applyFont="1" applyAlignment="1">
      <alignment horizontal="center" vertical="center" wrapText="1"/>
    </xf>
    <xf numFmtId="0" fontId="13" fillId="0" borderId="27"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30" xfId="0" applyFont="1" applyBorder="1" applyAlignment="1">
      <alignment horizontal="center" vertical="center" wrapText="1"/>
    </xf>
    <xf numFmtId="167" fontId="13" fillId="0" borderId="0" xfId="0" applyNumberFormat="1" applyFont="1" applyAlignment="1">
      <alignment horizontal="center"/>
    </xf>
    <xf numFmtId="0" fontId="13" fillId="0" borderId="16" xfId="0" applyFont="1" applyBorder="1" applyAlignment="1">
      <alignment horizontal="right"/>
    </xf>
    <xf numFmtId="0" fontId="13" fillId="0" borderId="21" xfId="0" applyFont="1" applyBorder="1" applyAlignment="1">
      <alignment horizontal="right"/>
    </xf>
    <xf numFmtId="0" fontId="13" fillId="0" borderId="22" xfId="0" applyFont="1" applyBorder="1" applyAlignment="1">
      <alignment horizontal="right"/>
    </xf>
    <xf numFmtId="0" fontId="12" fillId="0" borderId="0" xfId="0" applyFont="1" applyAlignment="1">
      <alignment horizontal="center"/>
    </xf>
    <xf numFmtId="0" fontId="15" fillId="0" borderId="16"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4" fillId="0" borderId="0" xfId="0" applyFont="1" applyAlignment="1">
      <alignment horizontal="right"/>
    </xf>
    <xf numFmtId="0" fontId="2" fillId="0" borderId="0" xfId="0" applyFont="1" applyAlignment="1">
      <alignment horizontal="left"/>
    </xf>
    <xf numFmtId="2" fontId="12" fillId="0" borderId="13" xfId="0" applyNumberFormat="1" applyFont="1" applyBorder="1" applyAlignment="1">
      <alignment horizontal="center" vertical="center"/>
    </xf>
    <xf numFmtId="2" fontId="12" fillId="0" borderId="14" xfId="0" applyNumberFormat="1" applyFont="1" applyBorder="1" applyAlignment="1">
      <alignment horizontal="center" vertical="center"/>
    </xf>
    <xf numFmtId="2" fontId="12" fillId="0" borderId="15" xfId="0" applyNumberFormat="1"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16" xfId="0" applyFont="1" applyBorder="1" applyAlignment="1">
      <alignment horizontal="center"/>
    </xf>
    <xf numFmtId="0" fontId="13" fillId="0" borderId="21" xfId="0" applyFont="1" applyBorder="1" applyAlignment="1">
      <alignment horizontal="center"/>
    </xf>
    <xf numFmtId="0" fontId="13" fillId="0" borderId="22" xfId="0" applyFont="1" applyBorder="1" applyAlignment="1">
      <alignment horizontal="center"/>
    </xf>
    <xf numFmtId="0" fontId="13" fillId="0" borderId="0" xfId="0" applyFont="1" applyAlignment="1">
      <alignment horizontal="center"/>
    </xf>
    <xf numFmtId="0" fontId="2" fillId="0" borderId="0" xfId="0" applyFont="1" applyAlignment="1">
      <alignment horizontal="center"/>
    </xf>
    <xf numFmtId="0" fontId="4" fillId="0" borderId="0" xfId="0" applyFont="1" applyAlignment="1">
      <alignment horizontal="center"/>
    </xf>
    <xf numFmtId="3" fontId="13" fillId="0" borderId="7" xfId="0" applyNumberFormat="1" applyFont="1" applyBorder="1" applyAlignment="1">
      <alignment horizontal="left"/>
    </xf>
    <xf numFmtId="3" fontId="13" fillId="0" borderId="8" xfId="0" applyNumberFormat="1" applyFont="1" applyBorder="1" applyAlignment="1">
      <alignment horizontal="left"/>
    </xf>
    <xf numFmtId="3" fontId="13" fillId="0" borderId="10" xfId="0" applyNumberFormat="1" applyFont="1" applyBorder="1" applyAlignment="1">
      <alignment horizontal="left"/>
    </xf>
    <xf numFmtId="3" fontId="13" fillId="0" borderId="2" xfId="0" applyNumberFormat="1" applyFont="1" applyBorder="1" applyAlignment="1">
      <alignment horizontal="left"/>
    </xf>
    <xf numFmtId="3" fontId="13" fillId="0" borderId="12" xfId="0" applyNumberFormat="1" applyFont="1" applyBorder="1" applyAlignment="1">
      <alignment horizontal="left"/>
    </xf>
    <xf numFmtId="3" fontId="13" fillId="0" borderId="6" xfId="0" applyNumberFormat="1" applyFont="1" applyBorder="1" applyAlignment="1">
      <alignment horizontal="left"/>
    </xf>
    <xf numFmtId="3" fontId="13" fillId="0" borderId="4" xfId="0" applyNumberFormat="1" applyFont="1" applyBorder="1" applyAlignment="1">
      <alignment horizontal="left"/>
    </xf>
    <xf numFmtId="3" fontId="13" fillId="0" borderId="5" xfId="0" applyNumberFormat="1" applyFont="1" applyBorder="1" applyAlignment="1">
      <alignment horizontal="left"/>
    </xf>
    <xf numFmtId="167" fontId="13" fillId="0" borderId="16" xfId="0" applyNumberFormat="1" applyFont="1" applyBorder="1" applyAlignment="1">
      <alignment horizontal="center"/>
    </xf>
    <xf numFmtId="167" fontId="13" fillId="0" borderId="22" xfId="0" applyNumberFormat="1" applyFont="1" applyBorder="1" applyAlignment="1">
      <alignment horizontal="center"/>
    </xf>
    <xf numFmtId="167" fontId="13" fillId="0" borderId="21" xfId="0" applyNumberFormat="1" applyFont="1" applyBorder="1" applyAlignment="1">
      <alignment horizontal="center"/>
    </xf>
    <xf numFmtId="0" fontId="12" fillId="0" borderId="11"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20" xfId="0" applyFont="1" applyBorder="1" applyAlignment="1">
      <alignment horizontal="center"/>
    </xf>
    <xf numFmtId="0" fontId="13" fillId="0" borderId="16" xfId="0" applyFont="1" applyBorder="1" applyAlignment="1">
      <alignment horizontal="center"/>
    </xf>
  </cellXfs>
  <cellStyles count="7">
    <cellStyle name="Comma" xfId="1" builtinId="3"/>
    <cellStyle name="Comma 2" xfId="4" xr:uid="{00000000-0005-0000-0000-000001000000}"/>
    <cellStyle name="Currency" xfId="2" builtinId="4"/>
    <cellStyle name="Currency 2" xfId="5" xr:uid="{00000000-0005-0000-0000-000003000000}"/>
    <cellStyle name="Normal" xfId="0" builtinId="0"/>
    <cellStyle name="Percent" xfId="3" builtinId="5"/>
    <cellStyle name="Percent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2" name="Picture 1">
          <a:extLst>
            <a:ext uri="{FF2B5EF4-FFF2-40B4-BE49-F238E27FC236}">
              <a16:creationId xmlns:a16="http://schemas.microsoft.com/office/drawing/2014/main" id="{D52E5B2A-641A-47C5-ABB9-55A480043A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2" name="Picture 1">
          <a:extLst>
            <a:ext uri="{FF2B5EF4-FFF2-40B4-BE49-F238E27FC236}">
              <a16:creationId xmlns:a16="http://schemas.microsoft.com/office/drawing/2014/main" id="{13AAEB3C-633E-4F7D-B661-825B63E09B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3125" name="Picture 1">
          <a:extLst>
            <a:ext uri="{FF2B5EF4-FFF2-40B4-BE49-F238E27FC236}">
              <a16:creationId xmlns:a16="http://schemas.microsoft.com/office/drawing/2014/main" id="{00000000-0008-0000-0000-000035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2A0BA-CAC5-4243-8A74-81D2C859EDB7}">
  <sheetPr>
    <pageSetUpPr fitToPage="1"/>
  </sheetPr>
  <dimension ref="B1:Z49"/>
  <sheetViews>
    <sheetView tabSelected="1" zoomScaleNormal="100" workbookViewId="0">
      <selection activeCell="P18" sqref="P18"/>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34" t="s">
        <v>44</v>
      </c>
      <c r="C1" s="134"/>
      <c r="D1" s="134"/>
      <c r="E1" s="134"/>
      <c r="F1" s="134"/>
      <c r="G1" s="134"/>
      <c r="H1" s="134"/>
      <c r="I1" s="134"/>
      <c r="J1" s="134"/>
      <c r="K1" s="134"/>
      <c r="L1" s="134"/>
      <c r="M1" s="134"/>
      <c r="N1" s="134"/>
    </row>
    <row r="2" spans="2:26" s="1" customFormat="1" ht="20.25" customHeight="1" x14ac:dyDescent="0.25">
      <c r="B2" s="135" t="s">
        <v>39</v>
      </c>
      <c r="C2" s="135"/>
      <c r="D2" s="135"/>
      <c r="E2" s="135"/>
      <c r="F2" s="135"/>
      <c r="G2" s="135"/>
      <c r="H2" s="135"/>
      <c r="I2" s="135"/>
      <c r="J2" s="135"/>
      <c r="K2" s="135"/>
      <c r="L2" s="135"/>
      <c r="M2" s="135"/>
      <c r="N2" s="135"/>
      <c r="O2" s="2"/>
      <c r="P2" s="2"/>
      <c r="Q2" s="3"/>
      <c r="R2" s="2"/>
      <c r="S2" s="2"/>
      <c r="T2" s="2"/>
      <c r="U2" s="2"/>
      <c r="V2" s="2"/>
      <c r="W2" s="2"/>
      <c r="X2" s="2"/>
      <c r="Y2" s="2"/>
      <c r="Z2" s="2"/>
    </row>
    <row r="3" spans="2:26" s="1" customFormat="1" ht="20.25" customHeight="1" x14ac:dyDescent="0.25">
      <c r="G3" s="4" t="s">
        <v>0</v>
      </c>
      <c r="H3" s="5">
        <v>45839</v>
      </c>
      <c r="I3" s="20" t="s">
        <v>1</v>
      </c>
      <c r="J3" s="5">
        <v>46203</v>
      </c>
      <c r="L3" s="6"/>
      <c r="O3" s="7"/>
      <c r="P3" s="7"/>
      <c r="Q3" s="8"/>
      <c r="R3" s="9"/>
      <c r="S3" s="2"/>
      <c r="T3" s="2"/>
      <c r="U3" s="2"/>
      <c r="V3" s="2"/>
      <c r="W3" s="7"/>
      <c r="X3" s="10"/>
      <c r="Y3" s="11"/>
      <c r="Z3" s="11"/>
    </row>
    <row r="4" spans="2:26" s="1" customFormat="1" ht="20.25" customHeight="1" x14ac:dyDescent="0.25">
      <c r="B4" s="7"/>
      <c r="C4" s="7"/>
      <c r="D4" s="7"/>
      <c r="E4" s="7"/>
      <c r="F4" s="7"/>
      <c r="G4" s="2"/>
      <c r="H4" s="2" t="s">
        <v>57</v>
      </c>
      <c r="I4" s="12"/>
      <c r="J4" s="2"/>
      <c r="K4" s="7"/>
      <c r="L4" s="95"/>
      <c r="M4" s="11"/>
      <c r="N4" s="13"/>
      <c r="O4" s="11"/>
      <c r="P4" s="11"/>
      <c r="Q4" s="11"/>
      <c r="R4" s="11"/>
    </row>
    <row r="5" spans="2:26" s="1" customFormat="1" ht="20.25" customHeight="1" x14ac:dyDescent="0.25">
      <c r="B5" s="122" t="s">
        <v>2</v>
      </c>
      <c r="C5" s="122"/>
      <c r="D5" s="123" t="s">
        <v>43</v>
      </c>
      <c r="E5" s="123"/>
      <c r="F5" s="123"/>
      <c r="G5" s="123"/>
      <c r="H5" s="14"/>
      <c r="I5" s="15"/>
      <c r="J5" s="15"/>
      <c r="K5" s="122" t="s">
        <v>3</v>
      </c>
      <c r="L5" s="122"/>
      <c r="M5" s="123" t="s">
        <v>49</v>
      </c>
      <c r="N5" s="123"/>
    </row>
    <row r="6" spans="2:26" s="1" customFormat="1" ht="20.25" customHeight="1" x14ac:dyDescent="0.25">
      <c r="B6" s="122" t="s">
        <v>4</v>
      </c>
      <c r="C6" s="122"/>
      <c r="D6" s="123" t="s">
        <v>40</v>
      </c>
      <c r="E6" s="123"/>
      <c r="F6" s="123"/>
      <c r="G6" s="123"/>
      <c r="H6" s="14"/>
      <c r="I6" s="11"/>
      <c r="J6" s="11"/>
      <c r="K6" s="122"/>
      <c r="L6" s="122"/>
      <c r="M6" s="123"/>
      <c r="N6" s="123"/>
    </row>
    <row r="7" spans="2:26" ht="21" customHeight="1" thickBot="1" x14ac:dyDescent="0.25">
      <c r="C7" s="17"/>
      <c r="D7" s="17"/>
      <c r="E7" s="17"/>
    </row>
    <row r="8" spans="2:26" s="22" customFormat="1" ht="15.75" customHeight="1" thickBot="1" x14ac:dyDescent="0.25">
      <c r="B8" s="124" t="s">
        <v>6</v>
      </c>
      <c r="C8" s="125"/>
      <c r="D8" s="125"/>
      <c r="E8" s="125"/>
      <c r="F8" s="125"/>
      <c r="G8" s="126"/>
      <c r="H8" s="21" t="s">
        <v>7</v>
      </c>
      <c r="I8" s="127" t="s">
        <v>8</v>
      </c>
      <c r="J8" s="127"/>
      <c r="K8" s="127"/>
      <c r="L8" s="128"/>
      <c r="M8" s="129" t="s">
        <v>9</v>
      </c>
      <c r="N8" s="128"/>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45839</v>
      </c>
      <c r="C12" s="51">
        <f>Union!C12+'Non Union'!C12</f>
        <v>5</v>
      </c>
      <c r="D12" s="51"/>
      <c r="E12" s="51"/>
      <c r="F12" s="51">
        <f>Union!F12+'Non Union'!F12</f>
        <v>17</v>
      </c>
      <c r="G12" s="52">
        <f>SUM(C12:F12)</f>
        <v>22</v>
      </c>
      <c r="H12" s="53">
        <f>SUM(Union!H12)+('Non Union'!H12)</f>
        <v>82.5</v>
      </c>
      <c r="I12" s="54">
        <f>Union!I12+'Non Union'!I12</f>
        <v>1184.5</v>
      </c>
      <c r="J12" s="55">
        <f>Union!J12+'Non Union'!J12</f>
        <v>1456</v>
      </c>
      <c r="K12" s="55">
        <f>Union!K12+'Non Union'!K12</f>
        <v>1001.6</v>
      </c>
      <c r="L12" s="52">
        <f>Union!L12+'Non Union'!L12</f>
        <v>7</v>
      </c>
      <c r="M12" s="54">
        <f>H12+I12-K12</f>
        <v>265.39999999999998</v>
      </c>
      <c r="N12" s="91">
        <f>K12/(H12+I12)</f>
        <v>0.79052880820836624</v>
      </c>
      <c r="Q12" s="49"/>
      <c r="R12" s="49"/>
    </row>
    <row r="13" spans="2:26" s="22" customFormat="1" ht="15.75" customHeight="1" x14ac:dyDescent="0.2">
      <c r="B13" s="50">
        <v>45870</v>
      </c>
      <c r="C13" s="51">
        <f>Union!C13+'Non Union'!C13</f>
        <v>5</v>
      </c>
      <c r="D13" s="51"/>
      <c r="E13" s="51"/>
      <c r="F13" s="51">
        <f>Union!F13+'Non Union'!F13</f>
        <v>17</v>
      </c>
      <c r="G13" s="52">
        <f t="shared" ref="G13:G23" si="0">SUM(C13:F13)</f>
        <v>22</v>
      </c>
      <c r="H13" s="53">
        <f>SUM(Union!H13)+('Non Union'!H13)</f>
        <v>82.5</v>
      </c>
      <c r="I13" s="54">
        <f>Union!I13+'Non Union'!I13</f>
        <v>1184.5</v>
      </c>
      <c r="J13" s="55">
        <f>Union!J13+'Non Union'!J13</f>
        <v>3961</v>
      </c>
      <c r="K13" s="55">
        <f>Union!K13+'Non Union'!K13</f>
        <v>2778.8</v>
      </c>
      <c r="L13" s="52">
        <f>Union!L13+'Non Union'!L13</f>
        <v>11</v>
      </c>
      <c r="M13" s="54">
        <f t="shared" ref="M13:M23" si="1">H13+I13-K13</f>
        <v>-1511.8000000000002</v>
      </c>
      <c r="N13" s="91">
        <f t="shared" ref="N13:N23" si="2">K13/(H13+I13)</f>
        <v>2.1932123125493295</v>
      </c>
      <c r="Q13" s="56"/>
      <c r="R13" s="49"/>
    </row>
    <row r="14" spans="2:26" s="22" customFormat="1" ht="15.75" customHeight="1" x14ac:dyDescent="0.2">
      <c r="B14" s="50">
        <v>45901</v>
      </c>
      <c r="C14" s="51">
        <f>Union!C14+'Non Union'!C14</f>
        <v>5</v>
      </c>
      <c r="D14" s="51"/>
      <c r="E14" s="51"/>
      <c r="F14" s="51">
        <f>Union!F14+'Non Union'!F14</f>
        <v>17</v>
      </c>
      <c r="G14" s="52">
        <f t="shared" si="0"/>
        <v>22</v>
      </c>
      <c r="H14" s="53">
        <f>SUM(Union!H14)+('Non Union'!H14)</f>
        <v>82.5</v>
      </c>
      <c r="I14" s="54">
        <f>Union!I14+'Non Union'!I14</f>
        <v>1184.5</v>
      </c>
      <c r="J14" s="55">
        <f>Union!J14+'Non Union'!J14</f>
        <v>950</v>
      </c>
      <c r="K14" s="55">
        <f>Union!K14+'Non Union'!K14</f>
        <v>875.8</v>
      </c>
      <c r="L14" s="52">
        <f>Union!L14+'Non Union'!L14</f>
        <v>6</v>
      </c>
      <c r="M14" s="54">
        <f t="shared" si="1"/>
        <v>391.20000000000005</v>
      </c>
      <c r="N14" s="91">
        <f t="shared" si="2"/>
        <v>0.69123914759273875</v>
      </c>
      <c r="Q14" s="56"/>
      <c r="R14" s="49"/>
    </row>
    <row r="15" spans="2:26" s="22" customFormat="1" ht="15.75" customHeight="1" x14ac:dyDescent="0.2">
      <c r="B15" s="50">
        <v>45931</v>
      </c>
      <c r="C15" s="51">
        <f>Union!C15+'Non Union'!C15</f>
        <v>5</v>
      </c>
      <c r="D15" s="51"/>
      <c r="E15" s="51"/>
      <c r="F15" s="51">
        <f>Union!F15+'Non Union'!F15</f>
        <v>18</v>
      </c>
      <c r="G15" s="52">
        <f t="shared" si="0"/>
        <v>23</v>
      </c>
      <c r="H15" s="53">
        <f>SUM(Union!H15)+('Non Union'!H15)</f>
        <v>86.25</v>
      </c>
      <c r="I15" s="54">
        <f>Union!I15+'Non Union'!I15</f>
        <v>1247.55</v>
      </c>
      <c r="J15" s="55">
        <f>Union!J15+'Non Union'!J15</f>
        <v>2040</v>
      </c>
      <c r="K15" s="55">
        <f>Union!K15+'Non Union'!K15</f>
        <v>1303.0999999999999</v>
      </c>
      <c r="L15" s="52">
        <f>Union!L15+'Non Union'!L15</f>
        <v>7</v>
      </c>
      <c r="M15" s="54">
        <f t="shared" si="1"/>
        <v>30.700000000000045</v>
      </c>
      <c r="N15" s="91">
        <f t="shared" si="2"/>
        <v>0.97698305593042434</v>
      </c>
      <c r="Q15" s="56"/>
      <c r="R15" s="49"/>
    </row>
    <row r="16" spans="2:26" s="22" customFormat="1" ht="15.75" customHeight="1" x14ac:dyDescent="0.2">
      <c r="B16" s="50">
        <v>45962</v>
      </c>
      <c r="C16" s="51">
        <f>Union!C16+'Non Union'!C16</f>
        <v>5</v>
      </c>
      <c r="D16" s="51"/>
      <c r="E16" s="51"/>
      <c r="F16" s="51">
        <f>Union!F16+'Non Union'!F16</f>
        <v>19</v>
      </c>
      <c r="G16" s="52">
        <f t="shared" si="0"/>
        <v>24</v>
      </c>
      <c r="H16" s="53">
        <f>SUM(Union!H16)+('Non Union'!H16)</f>
        <v>90</v>
      </c>
      <c r="I16" s="54">
        <f>Union!I16+'Non Union'!I16</f>
        <v>1310.5999999999999</v>
      </c>
      <c r="J16" s="55">
        <f>Union!J16+'Non Union'!J16</f>
        <v>973</v>
      </c>
      <c r="K16" s="55">
        <f>Union!K16+'Non Union'!K16</f>
        <v>683.7</v>
      </c>
      <c r="L16" s="52">
        <f>Union!L16+'Non Union'!L16</f>
        <v>3</v>
      </c>
      <c r="M16" s="54">
        <f t="shared" si="1"/>
        <v>716.89999999999986</v>
      </c>
      <c r="N16" s="91">
        <f t="shared" si="2"/>
        <v>0.48814793659860067</v>
      </c>
      <c r="Q16" s="56"/>
      <c r="R16" s="49"/>
    </row>
    <row r="17" spans="2:18" s="22" customFormat="1" ht="15.75" customHeight="1" x14ac:dyDescent="0.2">
      <c r="B17" s="50">
        <v>45992</v>
      </c>
      <c r="C17" s="51">
        <f>Union!C17+'Non Union'!C17</f>
        <v>5</v>
      </c>
      <c r="D17" s="51"/>
      <c r="E17" s="51"/>
      <c r="F17" s="51">
        <f>Union!F17+'Non Union'!F17</f>
        <v>19</v>
      </c>
      <c r="G17" s="52">
        <f t="shared" si="0"/>
        <v>24</v>
      </c>
      <c r="H17" s="53">
        <f>SUM(Union!H17)+('Non Union'!H17)</f>
        <v>90</v>
      </c>
      <c r="I17" s="54">
        <f>Union!I17+'Non Union'!I17</f>
        <v>1310.5999999999999</v>
      </c>
      <c r="J17" s="55">
        <f>Union!J17+'Non Union'!J17</f>
        <v>981</v>
      </c>
      <c r="K17" s="55">
        <f>Union!K17+'Non Union'!K17</f>
        <v>690.09999999999991</v>
      </c>
      <c r="L17" s="52">
        <f>Union!L17+'Non Union'!L17</f>
        <v>6</v>
      </c>
      <c r="M17" s="54">
        <f t="shared" si="1"/>
        <v>710.5</v>
      </c>
      <c r="N17" s="91">
        <f t="shared" si="2"/>
        <v>0.49271740682564613</v>
      </c>
      <c r="Q17" s="56"/>
      <c r="R17" s="49"/>
    </row>
    <row r="18" spans="2:18" s="22" customFormat="1" ht="15.75" customHeight="1" x14ac:dyDescent="0.2">
      <c r="B18" s="50">
        <v>46023</v>
      </c>
      <c r="C18" s="51">
        <f>Union!C18+'Non Union'!C18</f>
        <v>5</v>
      </c>
      <c r="D18" s="51"/>
      <c r="E18" s="51"/>
      <c r="F18" s="51">
        <f>Union!F18+'Non Union'!F18</f>
        <v>19</v>
      </c>
      <c r="G18" s="52">
        <f t="shared" si="0"/>
        <v>24</v>
      </c>
      <c r="H18" s="53">
        <f>SUM(Union!H18)+('Non Union'!H18)</f>
        <v>90</v>
      </c>
      <c r="I18" s="54">
        <f>Union!I18+'Non Union'!I18</f>
        <v>1310.5999999999999</v>
      </c>
      <c r="J18" s="55">
        <f>Union!J18+'Non Union'!J18</f>
        <v>956</v>
      </c>
      <c r="K18" s="55">
        <f>Union!K18+'Non Union'!K18</f>
        <v>802.7</v>
      </c>
      <c r="L18" s="52">
        <f>Union!L18+'Non Union'!L18</f>
        <v>4</v>
      </c>
      <c r="M18" s="54">
        <f t="shared" si="1"/>
        <v>597.89999999999986</v>
      </c>
      <c r="N18" s="91">
        <f t="shared" si="2"/>
        <v>0.57311152363272888</v>
      </c>
      <c r="Q18" s="56"/>
      <c r="R18" s="49"/>
    </row>
    <row r="19" spans="2:18" s="22" customFormat="1" ht="15.75" customHeight="1" x14ac:dyDescent="0.2">
      <c r="B19" s="50">
        <v>46054</v>
      </c>
      <c r="C19" s="51">
        <f>Union!C19+'Non Union'!C19</f>
        <v>6</v>
      </c>
      <c r="D19" s="51"/>
      <c r="E19" s="51"/>
      <c r="F19" s="51">
        <f>Union!F19+'Non Union'!F19</f>
        <v>19</v>
      </c>
      <c r="G19" s="52">
        <f t="shared" si="0"/>
        <v>25</v>
      </c>
      <c r="H19" s="53">
        <f>SUM(Union!H19)+('Non Union'!H19)</f>
        <v>93.75</v>
      </c>
      <c r="I19" s="54">
        <f>Union!I19+'Non Union'!I19</f>
        <v>1333.13</v>
      </c>
      <c r="J19" s="55">
        <f>Union!J19+'Non Union'!J19</f>
        <v>2209</v>
      </c>
      <c r="K19" s="55">
        <f>Union!K19+'Non Union'!K19</f>
        <v>1261</v>
      </c>
      <c r="L19" s="52">
        <f>Union!L19+'Non Union'!L19</f>
        <v>7</v>
      </c>
      <c r="M19" s="54">
        <f t="shared" si="1"/>
        <v>165.88000000000011</v>
      </c>
      <c r="N19" s="91">
        <f t="shared" si="2"/>
        <v>0.88374635568513116</v>
      </c>
      <c r="Q19" s="56"/>
      <c r="R19" s="49"/>
    </row>
    <row r="20" spans="2:18" s="22" customFormat="1" ht="15.75" customHeight="1" x14ac:dyDescent="0.2">
      <c r="B20" s="50">
        <v>46082</v>
      </c>
      <c r="C20" s="51">
        <f>Union!C20+'Non Union'!C20</f>
        <v>6</v>
      </c>
      <c r="D20" s="51"/>
      <c r="E20" s="51"/>
      <c r="F20" s="51">
        <f>Union!F20+'Non Union'!F20</f>
        <v>18</v>
      </c>
      <c r="G20" s="52">
        <f t="shared" si="0"/>
        <v>24</v>
      </c>
      <c r="H20" s="53">
        <f>SUM(Union!H20)+('Non Union'!H20)</f>
        <v>90</v>
      </c>
      <c r="I20" s="54">
        <f>Union!I20+'Non Union'!I20</f>
        <v>1270.08</v>
      </c>
      <c r="J20" s="55">
        <f>Union!J20+'Non Union'!J20</f>
        <v>3879</v>
      </c>
      <c r="K20" s="55">
        <f>Union!K20+'Non Union'!K20</f>
        <v>3214.5</v>
      </c>
      <c r="L20" s="52">
        <f>Union!L20+'Non Union'!L20</f>
        <v>17</v>
      </c>
      <c r="M20" s="54">
        <f t="shared" si="1"/>
        <v>-1854.42</v>
      </c>
      <c r="N20" s="91">
        <f t="shared" si="2"/>
        <v>2.3634639138874185</v>
      </c>
      <c r="Q20" s="56"/>
      <c r="R20" s="49"/>
    </row>
    <row r="21" spans="2:18" s="22" customFormat="1" ht="15.75" customHeight="1" x14ac:dyDescent="0.2">
      <c r="B21" s="50">
        <v>46113</v>
      </c>
      <c r="C21" s="51">
        <f>Union!C21+'Non Union'!C21</f>
        <v>6</v>
      </c>
      <c r="D21" s="51"/>
      <c r="E21" s="51"/>
      <c r="F21" s="51">
        <f>Union!F21+'Non Union'!F21</f>
        <v>18</v>
      </c>
      <c r="G21" s="52">
        <f t="shared" si="0"/>
        <v>24</v>
      </c>
      <c r="H21" s="53">
        <f>SUM(Union!H21)+('Non Union'!H21)</f>
        <v>90</v>
      </c>
      <c r="I21" s="54">
        <f>Union!I21+'Non Union'!I21</f>
        <v>1270.08</v>
      </c>
      <c r="J21" s="55">
        <f>Union!J21+'Non Union'!J21</f>
        <v>2182</v>
      </c>
      <c r="K21" s="55">
        <f>Union!K21+'Non Union'!K21</f>
        <v>1235</v>
      </c>
      <c r="L21" s="52">
        <f>Union!L21+'Non Union'!L21</f>
        <v>4</v>
      </c>
      <c r="M21" s="54">
        <f t="shared" si="1"/>
        <v>125.07999999999993</v>
      </c>
      <c r="N21" s="91">
        <f>K21/(H21+I21)</f>
        <v>0.90803482148108938</v>
      </c>
      <c r="Q21" s="56"/>
      <c r="R21" s="49"/>
    </row>
    <row r="22" spans="2:18" s="22" customFormat="1" ht="15.75" customHeight="1" x14ac:dyDescent="0.2">
      <c r="B22" s="50">
        <v>46143</v>
      </c>
      <c r="C22" s="51">
        <f>Union!C22+'Non Union'!C22</f>
        <v>6</v>
      </c>
      <c r="D22" s="51"/>
      <c r="E22" s="51"/>
      <c r="F22" s="51">
        <f>Union!F22+'Non Union'!F22</f>
        <v>18</v>
      </c>
      <c r="G22" s="52">
        <f t="shared" si="0"/>
        <v>24</v>
      </c>
      <c r="H22" s="53">
        <f>SUM(Union!H22)+('Non Union'!H22)</f>
        <v>90</v>
      </c>
      <c r="I22" s="54">
        <f>Union!I22+'Non Union'!I22</f>
        <v>1270.08</v>
      </c>
      <c r="J22" s="55">
        <f>Union!J22+'Non Union'!J22</f>
        <v>0</v>
      </c>
      <c r="K22" s="55">
        <f>Union!K22+'Non Union'!K22</f>
        <v>0</v>
      </c>
      <c r="L22" s="52">
        <f>Union!L22+'Non Union'!L22</f>
        <v>0</v>
      </c>
      <c r="M22" s="54">
        <f t="shared" si="1"/>
        <v>1360.08</v>
      </c>
      <c r="N22" s="91">
        <f>K22/(H22+I22)</f>
        <v>0</v>
      </c>
      <c r="Q22" s="56"/>
      <c r="R22" s="49"/>
    </row>
    <row r="23" spans="2:18" s="22" customFormat="1" ht="15.75" customHeight="1" x14ac:dyDescent="0.2">
      <c r="B23" s="50">
        <v>46174</v>
      </c>
      <c r="C23" s="51">
        <f>Union!C23+'Non Union'!C23</f>
        <v>7</v>
      </c>
      <c r="D23" s="51"/>
      <c r="E23" s="51"/>
      <c r="F23" s="51">
        <f>Union!F23+'Non Union'!F23</f>
        <v>17</v>
      </c>
      <c r="G23" s="52">
        <f t="shared" si="0"/>
        <v>24</v>
      </c>
      <c r="H23" s="53">
        <f>SUM(Union!H23)+('Non Union'!H23)</f>
        <v>90</v>
      </c>
      <c r="I23" s="54">
        <f>Union!I23+'Non Union'!I23</f>
        <v>1229.56</v>
      </c>
      <c r="J23" s="55">
        <f>Union!J23+'Non Union'!J23</f>
        <v>200</v>
      </c>
      <c r="K23" s="55">
        <f>Union!K23+'Non Union'!K23</f>
        <v>200</v>
      </c>
      <c r="L23" s="52">
        <f>Union!L23+'Non Union'!L23</f>
        <v>1</v>
      </c>
      <c r="M23" s="54">
        <f t="shared" si="1"/>
        <v>1119.56</v>
      </c>
      <c r="N23" s="91">
        <f>K23/(H23+I23)</f>
        <v>0.15156567340628696</v>
      </c>
      <c r="Q23" s="56"/>
      <c r="R23" s="49"/>
    </row>
    <row r="24" spans="2:18" s="22" customFormat="1" ht="15.75" customHeight="1" thickBot="1" x14ac:dyDescent="0.25">
      <c r="B24" s="57"/>
      <c r="C24" s="58"/>
      <c r="D24" s="58"/>
      <c r="E24" s="58"/>
      <c r="F24" s="58"/>
      <c r="G24" s="59"/>
      <c r="H24" s="60"/>
      <c r="I24" s="61"/>
      <c r="J24" s="62"/>
      <c r="K24" s="63"/>
      <c r="L24" s="64"/>
      <c r="M24" s="65"/>
      <c r="N24" s="66"/>
    </row>
    <row r="25" spans="2:18" s="74" customFormat="1" ht="15.75" customHeight="1" thickBot="1" x14ac:dyDescent="0.3">
      <c r="B25" s="67" t="s">
        <v>23</v>
      </c>
      <c r="C25" s="68">
        <f>AVERAGEIF(C12:C17,"&gt;0")</f>
        <v>5</v>
      </c>
      <c r="D25" s="68"/>
      <c r="E25" s="68"/>
      <c r="F25" s="68">
        <f>AVERAGEIF(F12:F17,"&gt;0")</f>
        <v>17.833333333333332</v>
      </c>
      <c r="G25" s="68">
        <f>AVERAGEIF(G12:G17,"&gt;0")</f>
        <v>22.833333333333332</v>
      </c>
      <c r="H25" s="69">
        <f>SUM(H11:H23)</f>
        <v>1057.5</v>
      </c>
      <c r="I25" s="69">
        <f>SUM(I11:I23)</f>
        <v>15105.779999999999</v>
      </c>
      <c r="J25" s="70">
        <f>SUM(J11:J23)</f>
        <v>19787</v>
      </c>
      <c r="K25" s="71">
        <f>SUM(K11:K23)</f>
        <v>14046.3</v>
      </c>
      <c r="L25" s="72">
        <f>SUM(L12:L23)</f>
        <v>73</v>
      </c>
      <c r="M25" s="69">
        <f>SUM(M12:M23)</f>
        <v>2116.9799999999996</v>
      </c>
      <c r="N25" s="73">
        <f>IF((H25+I25)&gt;0,K25/(H25+I25),"")</f>
        <v>0.86902534634059425</v>
      </c>
    </row>
    <row r="26" spans="2:18" s="22" customFormat="1" ht="15.75" customHeight="1" x14ac:dyDescent="0.2">
      <c r="J26" s="75"/>
      <c r="L26" s="76"/>
    </row>
    <row r="27" spans="2:18" s="22" customFormat="1" ht="15.75" customHeight="1" x14ac:dyDescent="0.25">
      <c r="B27" s="118"/>
      <c r="C27" s="118"/>
      <c r="D27" s="118"/>
      <c r="E27" s="118"/>
      <c r="F27" s="118"/>
      <c r="G27" s="118"/>
      <c r="H27" s="77"/>
      <c r="J27" s="130" t="s">
        <v>25</v>
      </c>
      <c r="K27" s="131"/>
      <c r="L27" s="131"/>
      <c r="M27" s="131"/>
      <c r="N27" s="132"/>
    </row>
    <row r="28" spans="2:18" s="22" customFormat="1" ht="15.75" customHeight="1" x14ac:dyDescent="0.2">
      <c r="C28" s="133"/>
      <c r="D28" s="133"/>
      <c r="E28" s="133"/>
      <c r="F28" s="133"/>
      <c r="G28" s="75"/>
      <c r="H28" s="75"/>
      <c r="J28" s="115" t="s">
        <v>28</v>
      </c>
      <c r="K28" s="116"/>
      <c r="L28" s="116"/>
      <c r="M28" s="117"/>
      <c r="N28" s="92">
        <f>J25/L25</f>
        <v>271.05479452054794</v>
      </c>
    </row>
    <row r="29" spans="2:18" s="22" customFormat="1" ht="15.75" customHeight="1" x14ac:dyDescent="0.2">
      <c r="B29" s="96"/>
      <c r="C29" s="114"/>
      <c r="D29" s="114"/>
      <c r="E29" s="114"/>
      <c r="F29" s="114"/>
      <c r="G29" s="82"/>
      <c r="H29" s="82"/>
      <c r="J29" s="115" t="s">
        <v>30</v>
      </c>
      <c r="K29" s="116"/>
      <c r="L29" s="116"/>
      <c r="M29" s="117"/>
      <c r="N29" s="92">
        <f>K25/L25</f>
        <v>192.41506849315067</v>
      </c>
    </row>
    <row r="30" spans="2:18" s="22" customFormat="1" ht="15.75" customHeight="1" x14ac:dyDescent="0.2">
      <c r="B30" s="97"/>
      <c r="C30" s="114"/>
      <c r="D30" s="114"/>
      <c r="E30" s="114"/>
      <c r="F30" s="114"/>
      <c r="G30" s="82"/>
      <c r="H30" s="82"/>
      <c r="J30" s="115" t="s">
        <v>31</v>
      </c>
      <c r="K30" s="116"/>
      <c r="L30" s="116"/>
      <c r="M30" s="117"/>
      <c r="N30" s="93">
        <f>((L25/COUNTIF(G12:G17,"&gt;0"))*12)/G25</f>
        <v>6.3941605839416065</v>
      </c>
    </row>
    <row r="31" spans="2:18" s="22" customFormat="1" ht="15.75" customHeight="1" x14ac:dyDescent="0.2">
      <c r="B31" s="96"/>
      <c r="C31" s="114"/>
      <c r="D31" s="114"/>
      <c r="E31" s="114"/>
      <c r="F31" s="114"/>
      <c r="G31" s="82"/>
      <c r="H31" s="82"/>
      <c r="J31" s="115" t="s">
        <v>32</v>
      </c>
      <c r="K31" s="116"/>
      <c r="L31" s="116"/>
      <c r="M31" s="117"/>
      <c r="N31" s="94">
        <f>K25/J25</f>
        <v>0.7098751705665336</v>
      </c>
    </row>
    <row r="32" spans="2:18" s="22" customFormat="1" ht="15.75" customHeight="1" x14ac:dyDescent="0.2">
      <c r="B32" s="96"/>
      <c r="C32" s="114"/>
      <c r="D32" s="114"/>
      <c r="E32" s="114"/>
      <c r="F32" s="114"/>
      <c r="G32" s="82"/>
      <c r="H32" s="82"/>
      <c r="J32" s="115" t="s">
        <v>34</v>
      </c>
      <c r="K32" s="116"/>
      <c r="L32" s="116"/>
      <c r="M32" s="117"/>
      <c r="N32" s="92">
        <f>K25/G25/(COUNTIF(G12:G17,"&gt;0"))</f>
        <v>102.52773722627738</v>
      </c>
    </row>
    <row r="33" spans="2:14" s="22" customFormat="1" ht="15.75" customHeight="1" x14ac:dyDescent="0.2">
      <c r="C33" s="82"/>
      <c r="D33" s="82"/>
      <c r="E33" s="82"/>
      <c r="F33" s="84"/>
      <c r="G33" s="82"/>
      <c r="H33" s="82"/>
      <c r="J33" s="85"/>
      <c r="K33" s="85"/>
      <c r="L33" s="85"/>
      <c r="M33" s="85"/>
      <c r="N33" s="86"/>
    </row>
    <row r="34" spans="2:14" s="22" customFormat="1" ht="15.75" customHeight="1" x14ac:dyDescent="0.2">
      <c r="J34" s="75"/>
      <c r="L34" s="76"/>
    </row>
    <row r="35" spans="2:14" s="22" customFormat="1" ht="15.75" customHeight="1" x14ac:dyDescent="0.25">
      <c r="B35" s="118"/>
      <c r="C35" s="118"/>
      <c r="D35" s="118"/>
      <c r="E35" s="118"/>
      <c r="F35" s="118"/>
      <c r="G35" s="118"/>
      <c r="H35" s="77"/>
      <c r="J35" s="119" t="s">
        <v>37</v>
      </c>
      <c r="K35" s="120"/>
      <c r="L35" s="120"/>
      <c r="M35" s="120"/>
      <c r="N35" s="121"/>
    </row>
    <row r="36" spans="2:14" s="22" customFormat="1" ht="15.75" customHeight="1" x14ac:dyDescent="0.2">
      <c r="B36" s="98"/>
      <c r="C36" s="98"/>
      <c r="D36" s="98"/>
      <c r="E36" s="98"/>
      <c r="F36" s="98"/>
      <c r="G36" s="98"/>
      <c r="H36" s="87"/>
      <c r="J36" s="99" t="s">
        <v>28</v>
      </c>
      <c r="K36" s="100"/>
      <c r="L36" s="100"/>
      <c r="M36" s="101"/>
      <c r="N36" s="88">
        <v>252.07</v>
      </c>
    </row>
    <row r="37" spans="2:14" s="22" customFormat="1" ht="15.75" customHeight="1" x14ac:dyDescent="0.2">
      <c r="B37" s="98"/>
      <c r="C37" s="98"/>
      <c r="D37" s="98"/>
      <c r="E37" s="98"/>
      <c r="F37" s="98"/>
      <c r="G37" s="98"/>
      <c r="H37" s="87"/>
      <c r="J37" s="99" t="s">
        <v>30</v>
      </c>
      <c r="K37" s="100"/>
      <c r="L37" s="100"/>
      <c r="M37" s="101"/>
      <c r="N37" s="88">
        <v>163.09</v>
      </c>
    </row>
    <row r="38" spans="2:14" s="22" customFormat="1" ht="15.75" customHeight="1" x14ac:dyDescent="0.2">
      <c r="B38" s="98"/>
      <c r="C38" s="98"/>
      <c r="D38" s="98"/>
      <c r="E38" s="98"/>
      <c r="F38" s="98"/>
      <c r="G38" s="98"/>
      <c r="H38" s="87"/>
      <c r="J38" s="99" t="s">
        <v>31</v>
      </c>
      <c r="K38" s="100"/>
      <c r="L38" s="100"/>
      <c r="M38" s="101"/>
      <c r="N38" s="89">
        <v>5.19</v>
      </c>
    </row>
    <row r="39" spans="2:14" s="22" customFormat="1" ht="15.75" customHeight="1" x14ac:dyDescent="0.2">
      <c r="B39" s="98"/>
      <c r="C39" s="98"/>
      <c r="D39" s="98"/>
      <c r="E39" s="98"/>
      <c r="F39" s="98"/>
      <c r="G39" s="98"/>
      <c r="H39" s="87"/>
      <c r="J39" s="99" t="s">
        <v>32</v>
      </c>
      <c r="K39" s="100"/>
      <c r="L39" s="100"/>
      <c r="M39" s="101"/>
      <c r="N39" s="90">
        <v>0.64700000000000002</v>
      </c>
    </row>
    <row r="40" spans="2:14" s="22" customFormat="1" ht="15" x14ac:dyDescent="0.2">
      <c r="B40" s="98"/>
      <c r="C40" s="98"/>
      <c r="D40" s="98"/>
      <c r="E40" s="98"/>
      <c r="F40" s="98"/>
      <c r="G40" s="98"/>
      <c r="H40" s="87"/>
      <c r="J40" s="99" t="s">
        <v>34</v>
      </c>
      <c r="K40" s="100"/>
      <c r="L40" s="100"/>
      <c r="M40" s="101"/>
      <c r="N40" s="88">
        <v>70.59</v>
      </c>
    </row>
    <row r="41" spans="2:14" s="22" customFormat="1" ht="15.75" x14ac:dyDescent="0.25">
      <c r="J41" s="102" t="s">
        <v>38</v>
      </c>
      <c r="K41" s="103"/>
      <c r="L41" s="103"/>
      <c r="M41" s="104"/>
      <c r="N41" s="88">
        <v>8220.32</v>
      </c>
    </row>
    <row r="42" spans="2:14" s="22" customFormat="1" ht="10.15" customHeight="1" x14ac:dyDescent="0.2">
      <c r="J42" s="75"/>
      <c r="L42" s="76"/>
    </row>
    <row r="43" spans="2:14" s="22" customFormat="1" ht="10.15" customHeight="1" x14ac:dyDescent="0.2">
      <c r="B43" s="105" t="s">
        <v>41</v>
      </c>
      <c r="C43" s="106"/>
      <c r="D43" s="106"/>
      <c r="E43" s="106"/>
      <c r="F43" s="106"/>
      <c r="G43" s="106"/>
      <c r="H43" s="106"/>
      <c r="I43" s="106"/>
      <c r="J43" s="106"/>
      <c r="K43" s="106"/>
      <c r="L43" s="106"/>
      <c r="M43" s="106"/>
      <c r="N43" s="107"/>
    </row>
    <row r="44" spans="2:14" s="22" customFormat="1" ht="10.15" customHeight="1" x14ac:dyDescent="0.2">
      <c r="B44" s="108"/>
      <c r="C44" s="109"/>
      <c r="D44" s="109"/>
      <c r="E44" s="109"/>
      <c r="F44" s="109"/>
      <c r="G44" s="109"/>
      <c r="H44" s="109"/>
      <c r="I44" s="109"/>
      <c r="J44" s="109"/>
      <c r="K44" s="109"/>
      <c r="L44" s="109"/>
      <c r="M44" s="109"/>
      <c r="N44" s="110"/>
    </row>
    <row r="45" spans="2:14" s="22" customFormat="1" ht="10.15" customHeight="1" x14ac:dyDescent="0.2">
      <c r="B45" s="108"/>
      <c r="C45" s="109"/>
      <c r="D45" s="109"/>
      <c r="E45" s="109"/>
      <c r="F45" s="109"/>
      <c r="G45" s="109"/>
      <c r="H45" s="109"/>
      <c r="I45" s="109"/>
      <c r="J45" s="109"/>
      <c r="K45" s="109"/>
      <c r="L45" s="109"/>
      <c r="M45" s="109"/>
      <c r="N45" s="110"/>
    </row>
    <row r="46" spans="2:14" s="22" customFormat="1" ht="10.15" customHeight="1" x14ac:dyDescent="0.2">
      <c r="B46" s="108"/>
      <c r="C46" s="109"/>
      <c r="D46" s="109"/>
      <c r="E46" s="109"/>
      <c r="F46" s="109"/>
      <c r="G46" s="109"/>
      <c r="H46" s="109"/>
      <c r="I46" s="109"/>
      <c r="J46" s="109"/>
      <c r="K46" s="109"/>
      <c r="L46" s="109"/>
      <c r="M46" s="109"/>
      <c r="N46" s="110"/>
    </row>
    <row r="47" spans="2:14" s="22" customFormat="1" ht="10.15" customHeight="1" x14ac:dyDescent="0.2">
      <c r="B47" s="108"/>
      <c r="C47" s="109"/>
      <c r="D47" s="109"/>
      <c r="E47" s="109"/>
      <c r="F47" s="109"/>
      <c r="G47" s="109"/>
      <c r="H47" s="109"/>
      <c r="I47" s="109"/>
      <c r="J47" s="109"/>
      <c r="K47" s="109"/>
      <c r="L47" s="109"/>
      <c r="M47" s="109"/>
      <c r="N47" s="110"/>
    </row>
    <row r="48" spans="2:14" s="22" customFormat="1" ht="10.15" customHeight="1" x14ac:dyDescent="0.2">
      <c r="B48" s="108"/>
      <c r="C48" s="109"/>
      <c r="D48" s="109"/>
      <c r="E48" s="109"/>
      <c r="F48" s="109"/>
      <c r="G48" s="109"/>
      <c r="H48" s="109"/>
      <c r="I48" s="109"/>
      <c r="J48" s="109"/>
      <c r="K48" s="109"/>
      <c r="L48" s="109"/>
      <c r="M48" s="109"/>
      <c r="N48" s="110"/>
    </row>
    <row r="49" spans="2:14" s="22" customFormat="1" ht="10.15" customHeight="1" x14ac:dyDescent="0.2">
      <c r="B49" s="111"/>
      <c r="C49" s="112"/>
      <c r="D49" s="112"/>
      <c r="E49" s="112"/>
      <c r="F49" s="112"/>
      <c r="G49" s="112"/>
      <c r="H49" s="112"/>
      <c r="I49" s="112"/>
      <c r="J49" s="112"/>
      <c r="K49" s="112"/>
      <c r="L49" s="112"/>
      <c r="M49" s="112"/>
      <c r="N49" s="113"/>
    </row>
  </sheetData>
  <mergeCells count="44">
    <mergeCell ref="B1:N1"/>
    <mergeCell ref="B2:N2"/>
    <mergeCell ref="B5:C5"/>
    <mergeCell ref="D5:G5"/>
    <mergeCell ref="K5:L5"/>
    <mergeCell ref="M5:N5"/>
    <mergeCell ref="C29:D29"/>
    <mergeCell ref="E29:F29"/>
    <mergeCell ref="J29:M29"/>
    <mergeCell ref="B6:C6"/>
    <mergeCell ref="D6:G6"/>
    <mergeCell ref="K6:L6"/>
    <mergeCell ref="M6:N6"/>
    <mergeCell ref="B8:G8"/>
    <mergeCell ref="I8:L8"/>
    <mergeCell ref="M8:N8"/>
    <mergeCell ref="B27:G27"/>
    <mergeCell ref="J27:N27"/>
    <mergeCell ref="C28:D28"/>
    <mergeCell ref="E28:F28"/>
    <mergeCell ref="J28:M28"/>
    <mergeCell ref="B36:G36"/>
    <mergeCell ref="J36:M36"/>
    <mergeCell ref="C30:D30"/>
    <mergeCell ref="E30:F30"/>
    <mergeCell ref="J30:M30"/>
    <mergeCell ref="C31:D31"/>
    <mergeCell ref="E31:F31"/>
    <mergeCell ref="J31:M31"/>
    <mergeCell ref="C32:D32"/>
    <mergeCell ref="E32:F32"/>
    <mergeCell ref="J32:M32"/>
    <mergeCell ref="B35:G35"/>
    <mergeCell ref="J35:N35"/>
    <mergeCell ref="B40:G40"/>
    <mergeCell ref="J40:M40"/>
    <mergeCell ref="J41:M41"/>
    <mergeCell ref="B43:N49"/>
    <mergeCell ref="B37:G37"/>
    <mergeCell ref="J37:M37"/>
    <mergeCell ref="B38:G38"/>
    <mergeCell ref="J38:M38"/>
    <mergeCell ref="B39:G39"/>
    <mergeCell ref="J39:M39"/>
  </mergeCells>
  <pageMargins left="0.7" right="0.7" top="0.75" bottom="0.75" header="0.3" footer="0.3"/>
  <pageSetup scale="6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CBEB2-10D4-461C-A03E-2B340F521637}">
  <sheetPr>
    <pageSetUpPr fitToPage="1"/>
  </sheetPr>
  <dimension ref="B1:Z49"/>
  <sheetViews>
    <sheetView topLeftCell="A2" workbookViewId="0">
      <selection activeCell="G23" sqref="G23"/>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34" t="s">
        <v>44</v>
      </c>
      <c r="C1" s="134"/>
      <c r="D1" s="134"/>
      <c r="E1" s="134"/>
      <c r="F1" s="134"/>
      <c r="G1" s="134"/>
      <c r="H1" s="134"/>
      <c r="I1" s="134"/>
      <c r="J1" s="134"/>
      <c r="K1" s="134"/>
      <c r="L1" s="134"/>
      <c r="M1" s="134"/>
      <c r="N1" s="134"/>
    </row>
    <row r="2" spans="2:26" s="1" customFormat="1" ht="20.25" customHeight="1" x14ac:dyDescent="0.25">
      <c r="B2" s="135" t="s">
        <v>39</v>
      </c>
      <c r="C2" s="135"/>
      <c r="D2" s="135"/>
      <c r="E2" s="135"/>
      <c r="F2" s="135"/>
      <c r="G2" s="135"/>
      <c r="H2" s="135"/>
      <c r="I2" s="135"/>
      <c r="J2" s="135"/>
      <c r="K2" s="135"/>
      <c r="L2" s="135"/>
      <c r="M2" s="135"/>
      <c r="N2" s="135"/>
      <c r="O2" s="2"/>
      <c r="P2" s="2"/>
      <c r="Q2" s="3"/>
      <c r="R2" s="2"/>
      <c r="S2" s="2"/>
      <c r="T2" s="2"/>
      <c r="U2" s="2"/>
      <c r="V2" s="2"/>
      <c r="W2" s="2"/>
      <c r="X2" s="2"/>
      <c r="Y2" s="2"/>
      <c r="Z2" s="2"/>
    </row>
    <row r="3" spans="2:26" s="1" customFormat="1" ht="20.25" customHeight="1" x14ac:dyDescent="0.25">
      <c r="G3" s="4" t="s">
        <v>0</v>
      </c>
      <c r="H3" s="5">
        <v>45839</v>
      </c>
      <c r="I3" s="20" t="s">
        <v>1</v>
      </c>
      <c r="J3" s="5">
        <v>46203</v>
      </c>
      <c r="L3" s="6"/>
      <c r="O3" s="7"/>
      <c r="P3" s="7"/>
      <c r="Q3" s="8"/>
      <c r="R3" s="9"/>
      <c r="S3" s="2"/>
      <c r="T3" s="2"/>
      <c r="U3" s="2"/>
      <c r="V3" s="2"/>
      <c r="W3" s="7"/>
      <c r="X3" s="10"/>
      <c r="Y3" s="11"/>
      <c r="Z3" s="11"/>
    </row>
    <row r="4" spans="2:26" s="1" customFormat="1" ht="20.25" customHeight="1" x14ac:dyDescent="0.25">
      <c r="B4" s="7"/>
      <c r="C4" s="7"/>
      <c r="D4" s="7"/>
      <c r="E4" s="7"/>
      <c r="F4" s="7"/>
      <c r="G4" s="2" t="s">
        <v>55</v>
      </c>
      <c r="H4" s="2"/>
      <c r="I4" s="12"/>
      <c r="J4" s="2"/>
      <c r="K4" s="7"/>
      <c r="L4" s="95"/>
      <c r="M4" s="11"/>
      <c r="N4" s="13"/>
      <c r="O4" s="11"/>
      <c r="P4" s="11"/>
      <c r="Q4" s="11"/>
      <c r="R4" s="11"/>
    </row>
    <row r="5" spans="2:26" s="1" customFormat="1" ht="20.25" customHeight="1" x14ac:dyDescent="0.25">
      <c r="B5" s="122" t="s">
        <v>2</v>
      </c>
      <c r="C5" s="122"/>
      <c r="D5" s="123" t="s">
        <v>43</v>
      </c>
      <c r="E5" s="123"/>
      <c r="F5" s="123"/>
      <c r="G5" s="123"/>
      <c r="H5" s="14"/>
      <c r="I5" s="15"/>
      <c r="J5" s="15"/>
      <c r="K5" s="122" t="s">
        <v>3</v>
      </c>
      <c r="L5" s="122"/>
      <c r="M5" s="123" t="s">
        <v>50</v>
      </c>
      <c r="N5" s="123"/>
    </row>
    <row r="6" spans="2:26" s="1" customFormat="1" ht="20.25" customHeight="1" x14ac:dyDescent="0.25">
      <c r="B6" s="122" t="s">
        <v>4</v>
      </c>
      <c r="C6" s="122"/>
      <c r="D6" s="123" t="s">
        <v>40</v>
      </c>
      <c r="E6" s="123"/>
      <c r="F6" s="123"/>
      <c r="G6" s="123"/>
      <c r="H6" s="14"/>
      <c r="I6" s="11"/>
      <c r="J6" s="11"/>
      <c r="K6" s="122" t="s">
        <v>5</v>
      </c>
      <c r="L6" s="122"/>
      <c r="M6" s="123" t="s">
        <v>51</v>
      </c>
      <c r="N6" s="123"/>
    </row>
    <row r="7" spans="2:26" ht="21" customHeight="1" thickBot="1" x14ac:dyDescent="0.25">
      <c r="C7" s="17"/>
      <c r="D7" s="17"/>
      <c r="E7" s="17"/>
    </row>
    <row r="8" spans="2:26" s="22" customFormat="1" ht="15.75" customHeight="1" thickBot="1" x14ac:dyDescent="0.25">
      <c r="B8" s="124" t="s">
        <v>6</v>
      </c>
      <c r="C8" s="125"/>
      <c r="D8" s="125"/>
      <c r="E8" s="125"/>
      <c r="F8" s="125"/>
      <c r="G8" s="125"/>
      <c r="H8" s="21" t="s">
        <v>7</v>
      </c>
      <c r="I8" s="127" t="s">
        <v>8</v>
      </c>
      <c r="J8" s="127"/>
      <c r="K8" s="127"/>
      <c r="L8" s="128"/>
      <c r="M8" s="129" t="s">
        <v>9</v>
      </c>
      <c r="N8" s="128"/>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45839</v>
      </c>
      <c r="C12" s="51">
        <v>3</v>
      </c>
      <c r="D12" s="51"/>
      <c r="E12" s="51"/>
      <c r="F12" s="51">
        <v>9</v>
      </c>
      <c r="G12" s="52">
        <f>SUM(C12:F12)</f>
        <v>12</v>
      </c>
      <c r="H12" s="53">
        <f t="shared" ref="H12:H23" si="0">(C12*$E$29)+(D12*$E$30)+(E12*$E$31)+(F12*$E$32)</f>
        <v>45</v>
      </c>
      <c r="I12" s="54">
        <f t="shared" ref="I12:I23" si="1">(C12*$C$29)+(D12*$C$30)+(E12*$C$31)+(F12*$C$32)</f>
        <v>635.04</v>
      </c>
      <c r="J12" s="55">
        <v>1245</v>
      </c>
      <c r="K12" s="55">
        <v>896.1</v>
      </c>
      <c r="L12" s="52">
        <v>6</v>
      </c>
      <c r="M12" s="54">
        <f>H12+I12-K12</f>
        <v>-216.06000000000006</v>
      </c>
      <c r="N12" s="91">
        <f>K12/(H12+I12)</f>
        <v>1.3177166049055939</v>
      </c>
      <c r="Q12" s="49"/>
      <c r="R12" s="49"/>
    </row>
    <row r="13" spans="2:26" s="22" customFormat="1" ht="15.75" customHeight="1" x14ac:dyDescent="0.2">
      <c r="B13" s="50">
        <v>45870</v>
      </c>
      <c r="C13" s="51">
        <v>3</v>
      </c>
      <c r="D13" s="51"/>
      <c r="E13" s="51"/>
      <c r="F13" s="51">
        <v>9</v>
      </c>
      <c r="G13" s="52">
        <f t="shared" ref="G13:G23" si="2">SUM(C13:F13)</f>
        <v>12</v>
      </c>
      <c r="H13" s="53">
        <f t="shared" si="0"/>
        <v>45</v>
      </c>
      <c r="I13" s="54">
        <f t="shared" si="1"/>
        <v>635.04</v>
      </c>
      <c r="J13" s="55">
        <v>2522</v>
      </c>
      <c r="K13" s="55">
        <v>1753.1</v>
      </c>
      <c r="L13" s="52">
        <v>5</v>
      </c>
      <c r="M13" s="54">
        <f t="shared" ref="M13:M23" si="3">H13+I13-K13</f>
        <v>-1073.06</v>
      </c>
      <c r="N13" s="91">
        <f t="shared" ref="N13:N23" si="4">K13/(H13+I13)</f>
        <v>2.5779365919651784</v>
      </c>
      <c r="Q13" s="56"/>
      <c r="R13" s="49"/>
    </row>
    <row r="14" spans="2:26" s="22" customFormat="1" ht="15.75" customHeight="1" x14ac:dyDescent="0.2">
      <c r="B14" s="50">
        <v>45901</v>
      </c>
      <c r="C14" s="51">
        <v>3</v>
      </c>
      <c r="D14" s="51"/>
      <c r="E14" s="51"/>
      <c r="F14" s="51">
        <v>9</v>
      </c>
      <c r="G14" s="52">
        <f t="shared" si="2"/>
        <v>12</v>
      </c>
      <c r="H14" s="53">
        <f t="shared" si="0"/>
        <v>45</v>
      </c>
      <c r="I14" s="54">
        <f t="shared" si="1"/>
        <v>635.04</v>
      </c>
      <c r="J14" s="55">
        <v>545</v>
      </c>
      <c r="K14" s="55">
        <v>544.79999999999995</v>
      </c>
      <c r="L14" s="52">
        <v>3</v>
      </c>
      <c r="M14" s="54">
        <f t="shared" si="3"/>
        <v>135.24</v>
      </c>
      <c r="N14" s="91">
        <f t="shared" si="4"/>
        <v>0.80112934533262747</v>
      </c>
      <c r="Q14" s="56"/>
      <c r="R14" s="49"/>
    </row>
    <row r="15" spans="2:26" s="22" customFormat="1" ht="15.75" customHeight="1" x14ac:dyDescent="0.2">
      <c r="B15" s="50">
        <v>45931</v>
      </c>
      <c r="C15" s="51">
        <v>3</v>
      </c>
      <c r="D15" s="51"/>
      <c r="E15" s="51"/>
      <c r="F15" s="51">
        <v>9</v>
      </c>
      <c r="G15" s="52">
        <f t="shared" si="2"/>
        <v>12</v>
      </c>
      <c r="H15" s="53">
        <f t="shared" si="0"/>
        <v>45</v>
      </c>
      <c r="I15" s="54">
        <f t="shared" si="1"/>
        <v>635.04</v>
      </c>
      <c r="J15" s="55">
        <v>1402</v>
      </c>
      <c r="K15" s="55">
        <v>831</v>
      </c>
      <c r="L15" s="52">
        <v>5</v>
      </c>
      <c r="M15" s="54">
        <f t="shared" si="3"/>
        <v>-150.96000000000004</v>
      </c>
      <c r="N15" s="91">
        <f t="shared" si="4"/>
        <v>1.2219869419445915</v>
      </c>
      <c r="Q15" s="56"/>
      <c r="R15" s="49"/>
    </row>
    <row r="16" spans="2:26" s="22" customFormat="1" ht="15.75" customHeight="1" x14ac:dyDescent="0.2">
      <c r="B16" s="50">
        <v>45962</v>
      </c>
      <c r="C16" s="51">
        <v>3</v>
      </c>
      <c r="D16" s="51"/>
      <c r="E16" s="51"/>
      <c r="F16" s="51">
        <v>10</v>
      </c>
      <c r="G16" s="52">
        <f t="shared" si="2"/>
        <v>13</v>
      </c>
      <c r="H16" s="53">
        <f t="shared" si="0"/>
        <v>48.75</v>
      </c>
      <c r="I16" s="54">
        <f t="shared" si="1"/>
        <v>698.09</v>
      </c>
      <c r="J16" s="55">
        <v>973</v>
      </c>
      <c r="K16" s="55">
        <v>683.7</v>
      </c>
      <c r="L16" s="52">
        <v>3</v>
      </c>
      <c r="M16" s="54">
        <f t="shared" si="3"/>
        <v>63.139999999999986</v>
      </c>
      <c r="N16" s="91">
        <f t="shared" si="4"/>
        <v>0.91545712602431584</v>
      </c>
      <c r="Q16" s="56"/>
      <c r="R16" s="49"/>
    </row>
    <row r="17" spans="2:18" s="22" customFormat="1" ht="15.75" customHeight="1" x14ac:dyDescent="0.2">
      <c r="B17" s="50">
        <v>45992</v>
      </c>
      <c r="C17" s="51">
        <v>3</v>
      </c>
      <c r="D17" s="51"/>
      <c r="E17" s="51"/>
      <c r="F17" s="51">
        <v>10</v>
      </c>
      <c r="G17" s="52">
        <f t="shared" si="2"/>
        <v>13</v>
      </c>
      <c r="H17" s="53">
        <f t="shared" si="0"/>
        <v>48.75</v>
      </c>
      <c r="I17" s="54">
        <f t="shared" si="1"/>
        <v>698.09</v>
      </c>
      <c r="J17" s="55">
        <v>756</v>
      </c>
      <c r="K17" s="55">
        <v>550.9</v>
      </c>
      <c r="L17" s="52">
        <v>5</v>
      </c>
      <c r="M17" s="54">
        <f t="shared" si="3"/>
        <v>195.94000000000005</v>
      </c>
      <c r="N17" s="91">
        <f t="shared" si="4"/>
        <v>0.73764126184992762</v>
      </c>
      <c r="Q17" s="56"/>
      <c r="R17" s="49"/>
    </row>
    <row r="18" spans="2:18" s="22" customFormat="1" ht="15.75" customHeight="1" x14ac:dyDescent="0.2">
      <c r="B18" s="50">
        <v>46023</v>
      </c>
      <c r="C18" s="51">
        <v>3</v>
      </c>
      <c r="D18" s="51"/>
      <c r="E18" s="51"/>
      <c r="F18" s="51">
        <v>9</v>
      </c>
      <c r="G18" s="52">
        <f t="shared" si="2"/>
        <v>12</v>
      </c>
      <c r="H18" s="53">
        <f t="shared" si="0"/>
        <v>45</v>
      </c>
      <c r="I18" s="54">
        <f t="shared" si="1"/>
        <v>635.04</v>
      </c>
      <c r="J18" s="55">
        <v>956</v>
      </c>
      <c r="K18" s="55">
        <v>802.7</v>
      </c>
      <c r="L18" s="52">
        <v>4</v>
      </c>
      <c r="M18" s="54">
        <f t="shared" si="3"/>
        <v>-122.66000000000008</v>
      </c>
      <c r="N18" s="91">
        <f t="shared" si="4"/>
        <v>1.1803717428386566</v>
      </c>
      <c r="Q18" s="56"/>
      <c r="R18" s="49"/>
    </row>
    <row r="19" spans="2:18" s="22" customFormat="1" ht="15.75" customHeight="1" x14ac:dyDescent="0.2">
      <c r="B19" s="50">
        <v>46054</v>
      </c>
      <c r="C19" s="51">
        <v>3</v>
      </c>
      <c r="D19" s="51"/>
      <c r="E19" s="51"/>
      <c r="F19" s="51">
        <v>9</v>
      </c>
      <c r="G19" s="52">
        <f t="shared" si="2"/>
        <v>12</v>
      </c>
      <c r="H19" s="53">
        <f t="shared" si="0"/>
        <v>45</v>
      </c>
      <c r="I19" s="54">
        <f t="shared" si="1"/>
        <v>635.04</v>
      </c>
      <c r="J19" s="55">
        <v>1800</v>
      </c>
      <c r="K19" s="55">
        <v>962.7</v>
      </c>
      <c r="L19" s="52">
        <v>5</v>
      </c>
      <c r="M19" s="54">
        <f t="shared" si="3"/>
        <v>-282.66000000000008</v>
      </c>
      <c r="N19" s="91">
        <f t="shared" si="4"/>
        <v>1.4156520204693843</v>
      </c>
      <c r="Q19" s="56"/>
      <c r="R19" s="49"/>
    </row>
    <row r="20" spans="2:18" s="22" customFormat="1" ht="15.75" customHeight="1" x14ac:dyDescent="0.2">
      <c r="B20" s="50">
        <v>46082</v>
      </c>
      <c r="C20" s="51">
        <v>3</v>
      </c>
      <c r="D20" s="51"/>
      <c r="E20" s="51"/>
      <c r="F20" s="51">
        <v>9</v>
      </c>
      <c r="G20" s="52">
        <f t="shared" si="2"/>
        <v>12</v>
      </c>
      <c r="H20" s="53">
        <f t="shared" si="0"/>
        <v>45</v>
      </c>
      <c r="I20" s="54">
        <f t="shared" si="1"/>
        <v>635.04</v>
      </c>
      <c r="J20" s="55">
        <v>1849</v>
      </c>
      <c r="K20" s="55">
        <v>2199.5</v>
      </c>
      <c r="L20" s="52">
        <v>11</v>
      </c>
      <c r="M20" s="54">
        <f t="shared" si="3"/>
        <v>-1519.46</v>
      </c>
      <c r="N20" s="91">
        <f t="shared" si="4"/>
        <v>3.2343685665549087</v>
      </c>
      <c r="Q20" s="56"/>
      <c r="R20" s="49"/>
    </row>
    <row r="21" spans="2:18" s="22" customFormat="1" ht="15.75" customHeight="1" x14ac:dyDescent="0.2">
      <c r="B21" s="50">
        <v>46113</v>
      </c>
      <c r="C21" s="51">
        <v>3</v>
      </c>
      <c r="D21" s="51"/>
      <c r="E21" s="51"/>
      <c r="F21" s="51">
        <v>9</v>
      </c>
      <c r="G21" s="52">
        <f t="shared" si="2"/>
        <v>12</v>
      </c>
      <c r="H21" s="53">
        <f t="shared" si="0"/>
        <v>45</v>
      </c>
      <c r="I21" s="54">
        <f t="shared" si="1"/>
        <v>635.04</v>
      </c>
      <c r="J21" s="55">
        <v>2012</v>
      </c>
      <c r="K21" s="55">
        <v>1125</v>
      </c>
      <c r="L21" s="52">
        <v>3</v>
      </c>
      <c r="M21" s="54">
        <f t="shared" si="3"/>
        <v>-444.96000000000004</v>
      </c>
      <c r="N21" s="91">
        <f t="shared" si="4"/>
        <v>1.6543144520910535</v>
      </c>
      <c r="Q21" s="56"/>
      <c r="R21" s="49"/>
    </row>
    <row r="22" spans="2:18" s="22" customFormat="1" ht="15.75" customHeight="1" x14ac:dyDescent="0.2">
      <c r="B22" s="50">
        <v>46143</v>
      </c>
      <c r="C22" s="51">
        <v>3</v>
      </c>
      <c r="D22" s="51"/>
      <c r="E22" s="51"/>
      <c r="F22" s="51">
        <v>9</v>
      </c>
      <c r="G22" s="52">
        <f t="shared" si="2"/>
        <v>12</v>
      </c>
      <c r="H22" s="53">
        <f t="shared" si="0"/>
        <v>45</v>
      </c>
      <c r="I22" s="54">
        <f t="shared" si="1"/>
        <v>635.04</v>
      </c>
      <c r="J22" s="55">
        <v>0</v>
      </c>
      <c r="K22" s="55">
        <v>0</v>
      </c>
      <c r="L22" s="52">
        <v>0</v>
      </c>
      <c r="M22" s="54">
        <f t="shared" si="3"/>
        <v>680.04</v>
      </c>
      <c r="N22" s="91">
        <f t="shared" si="4"/>
        <v>0</v>
      </c>
      <c r="Q22" s="56"/>
      <c r="R22" s="49"/>
    </row>
    <row r="23" spans="2:18" s="22" customFormat="1" ht="15.75" customHeight="1" x14ac:dyDescent="0.2">
      <c r="B23" s="50">
        <v>46174</v>
      </c>
      <c r="C23" s="51">
        <v>4</v>
      </c>
      <c r="D23" s="51"/>
      <c r="E23" s="51"/>
      <c r="F23" s="51">
        <v>8</v>
      </c>
      <c r="G23" s="52">
        <f t="shared" si="2"/>
        <v>12</v>
      </c>
      <c r="H23" s="53">
        <f t="shared" si="0"/>
        <v>45</v>
      </c>
      <c r="I23" s="54">
        <f t="shared" si="1"/>
        <v>594.52</v>
      </c>
      <c r="J23" s="55">
        <v>200</v>
      </c>
      <c r="K23" s="55">
        <v>200</v>
      </c>
      <c r="L23" s="52">
        <v>1</v>
      </c>
      <c r="M23" s="54">
        <f t="shared" si="3"/>
        <v>439.52</v>
      </c>
      <c r="N23" s="91">
        <f t="shared" si="4"/>
        <v>0.31273455091318492</v>
      </c>
      <c r="Q23" s="56"/>
      <c r="R23" s="49"/>
    </row>
    <row r="24" spans="2:18" s="22" customFormat="1" ht="15.75" customHeight="1" thickBot="1" x14ac:dyDescent="0.25">
      <c r="B24" s="57"/>
      <c r="C24" s="58"/>
      <c r="D24" s="58"/>
      <c r="E24" s="58"/>
      <c r="F24" s="58"/>
      <c r="G24" s="59"/>
      <c r="H24" s="60"/>
      <c r="I24" s="61"/>
      <c r="J24" s="62"/>
      <c r="K24" s="63"/>
      <c r="L24" s="64"/>
      <c r="M24" s="65"/>
      <c r="N24" s="66"/>
    </row>
    <row r="25" spans="2:18" s="74" customFormat="1" ht="15.75" customHeight="1" thickBot="1" x14ac:dyDescent="0.3">
      <c r="B25" s="67" t="s">
        <v>23</v>
      </c>
      <c r="C25" s="68">
        <f>AVERAGEIF(C12:C17,"&gt;0")</f>
        <v>3</v>
      </c>
      <c r="D25" s="68"/>
      <c r="E25" s="68"/>
      <c r="F25" s="68">
        <f>AVERAGEIF(F12:F17,"&gt;0")</f>
        <v>9.3333333333333339</v>
      </c>
      <c r="G25" s="68">
        <f>AVERAGEIF(G12:G17,"&gt;0")</f>
        <v>12.333333333333334</v>
      </c>
      <c r="H25" s="69">
        <f>SUM(H11:H23)</f>
        <v>547.5</v>
      </c>
      <c r="I25" s="69">
        <f>SUM(I11:I23)</f>
        <v>7706.0599999999995</v>
      </c>
      <c r="J25" s="70">
        <f>SUM(J11:J23)</f>
        <v>14260</v>
      </c>
      <c r="K25" s="71">
        <f>SUM(K11:K23)</f>
        <v>10549.5</v>
      </c>
      <c r="L25" s="72">
        <f>SUM(L12:L23)</f>
        <v>51</v>
      </c>
      <c r="M25" s="69">
        <f>SUM(M12:M23)</f>
        <v>-2295.94</v>
      </c>
      <c r="N25" s="73">
        <f>IF((H25+I25)&gt;0,K25/(H25+I25),"")</f>
        <v>1.2781757205375621</v>
      </c>
    </row>
    <row r="26" spans="2:18" s="22" customFormat="1" ht="15.75" customHeight="1" x14ac:dyDescent="0.2">
      <c r="J26" s="75"/>
      <c r="L26" s="76"/>
    </row>
    <row r="27" spans="2:18" s="22" customFormat="1" ht="15.75" customHeight="1" x14ac:dyDescent="0.25">
      <c r="B27" s="148" t="s">
        <v>24</v>
      </c>
      <c r="C27" s="149"/>
      <c r="D27" s="149"/>
      <c r="E27" s="149"/>
      <c r="F27" s="149"/>
      <c r="G27" s="150"/>
      <c r="H27" s="77"/>
      <c r="J27" s="130" t="s">
        <v>25</v>
      </c>
      <c r="K27" s="131"/>
      <c r="L27" s="131"/>
      <c r="M27" s="131"/>
      <c r="N27" s="132"/>
    </row>
    <row r="28" spans="2:18" s="22" customFormat="1" ht="15.75" customHeight="1" x14ac:dyDescent="0.2">
      <c r="B28" s="78"/>
      <c r="C28" s="131" t="s">
        <v>26</v>
      </c>
      <c r="D28" s="132"/>
      <c r="E28" s="151" t="s">
        <v>27</v>
      </c>
      <c r="F28" s="132"/>
      <c r="G28" s="79" t="s">
        <v>15</v>
      </c>
      <c r="H28" s="75"/>
      <c r="J28" s="115" t="s">
        <v>28</v>
      </c>
      <c r="K28" s="116"/>
      <c r="L28" s="116"/>
      <c r="M28" s="117"/>
      <c r="N28" s="92">
        <f>J25/L25</f>
        <v>279.60784313725492</v>
      </c>
    </row>
    <row r="29" spans="2:18" s="22" customFormat="1" ht="15.75" customHeight="1" x14ac:dyDescent="0.2">
      <c r="B29" s="80" t="s">
        <v>29</v>
      </c>
      <c r="C29" s="146">
        <v>22.53</v>
      </c>
      <c r="D29" s="145"/>
      <c r="E29" s="144">
        <v>3.75</v>
      </c>
      <c r="F29" s="145"/>
      <c r="G29" s="81">
        <f>C29+E29</f>
        <v>26.28</v>
      </c>
      <c r="H29" s="82"/>
      <c r="J29" s="115" t="s">
        <v>30</v>
      </c>
      <c r="K29" s="116"/>
      <c r="L29" s="116"/>
      <c r="M29" s="117"/>
      <c r="N29" s="92">
        <f>K25/L25</f>
        <v>206.85294117647058</v>
      </c>
    </row>
    <row r="30" spans="2:18" s="22" customFormat="1" ht="15.75" customHeight="1" x14ac:dyDescent="0.2">
      <c r="B30" s="83"/>
      <c r="C30" s="144"/>
      <c r="D30" s="145"/>
      <c r="E30" s="144"/>
      <c r="F30" s="145"/>
      <c r="G30" s="81"/>
      <c r="H30" s="82"/>
      <c r="J30" s="115" t="s">
        <v>31</v>
      </c>
      <c r="K30" s="116"/>
      <c r="L30" s="116"/>
      <c r="M30" s="117"/>
      <c r="N30" s="93">
        <f>((L25/COUNTIF(G12:G17,"&gt;0"))*12)/G25</f>
        <v>8.2702702702702702</v>
      </c>
    </row>
    <row r="31" spans="2:18" s="22" customFormat="1" ht="15.75" customHeight="1" x14ac:dyDescent="0.2">
      <c r="B31" s="80"/>
      <c r="C31" s="144"/>
      <c r="D31" s="145"/>
      <c r="E31" s="144"/>
      <c r="F31" s="145"/>
      <c r="G31" s="81"/>
      <c r="H31" s="82"/>
      <c r="J31" s="115" t="s">
        <v>32</v>
      </c>
      <c r="K31" s="116"/>
      <c r="L31" s="116"/>
      <c r="M31" s="117"/>
      <c r="N31" s="94">
        <f>K25/J25</f>
        <v>0.73979663394109396</v>
      </c>
    </row>
    <row r="32" spans="2:18" s="22" customFormat="1" ht="15.75" customHeight="1" x14ac:dyDescent="0.2">
      <c r="B32" s="80" t="s">
        <v>33</v>
      </c>
      <c r="C32" s="146">
        <v>63.05</v>
      </c>
      <c r="D32" s="145"/>
      <c r="E32" s="144">
        <v>3.75</v>
      </c>
      <c r="F32" s="145"/>
      <c r="G32" s="81">
        <f>C32+E32</f>
        <v>66.8</v>
      </c>
      <c r="H32" s="82"/>
      <c r="J32" s="115" t="s">
        <v>34</v>
      </c>
      <c r="K32" s="116"/>
      <c r="L32" s="116"/>
      <c r="M32" s="117"/>
      <c r="N32" s="92">
        <f>K25/G25/(COUNTIF(G12:G17,"&gt;0"))</f>
        <v>142.56081081081081</v>
      </c>
    </row>
    <row r="33" spans="2:14" s="22" customFormat="1" ht="15.75" customHeight="1" x14ac:dyDescent="0.2">
      <c r="C33" s="82"/>
      <c r="D33" s="82"/>
      <c r="E33" s="82"/>
      <c r="F33" s="84"/>
      <c r="G33" s="82"/>
      <c r="H33" s="82"/>
      <c r="J33" s="85"/>
      <c r="K33" s="85"/>
      <c r="L33" s="85"/>
      <c r="M33" s="85"/>
      <c r="N33" s="86"/>
    </row>
    <row r="34" spans="2:14" s="22" customFormat="1" ht="15.75" customHeight="1" thickBot="1" x14ac:dyDescent="0.25">
      <c r="J34" s="75"/>
      <c r="L34" s="76"/>
    </row>
    <row r="35" spans="2:14" s="22" customFormat="1" ht="15.75" customHeight="1" thickBot="1" x14ac:dyDescent="0.3">
      <c r="B35" s="147" t="s">
        <v>35</v>
      </c>
      <c r="C35" s="147"/>
      <c r="D35" s="147"/>
      <c r="E35" s="147"/>
      <c r="F35" s="147"/>
      <c r="G35" s="147"/>
      <c r="H35" s="77"/>
      <c r="J35" s="119" t="s">
        <v>37</v>
      </c>
      <c r="K35" s="120"/>
      <c r="L35" s="120"/>
      <c r="M35" s="120"/>
      <c r="N35" s="121"/>
    </row>
    <row r="36" spans="2:14" s="22" customFormat="1" ht="15.75" customHeight="1" x14ac:dyDescent="0.2">
      <c r="B36" s="141" t="s">
        <v>45</v>
      </c>
      <c r="C36" s="142"/>
      <c r="D36" s="142"/>
      <c r="E36" s="142"/>
      <c r="F36" s="142"/>
      <c r="G36" s="143"/>
      <c r="H36" s="87"/>
      <c r="J36" s="99" t="s">
        <v>28</v>
      </c>
      <c r="K36" s="100"/>
      <c r="L36" s="100"/>
      <c r="M36" s="101"/>
      <c r="N36" s="88">
        <v>201.27</v>
      </c>
    </row>
    <row r="37" spans="2:14" s="22" customFormat="1" ht="15.75" customHeight="1" x14ac:dyDescent="0.2">
      <c r="B37" s="139" t="s">
        <v>54</v>
      </c>
      <c r="C37" s="98"/>
      <c r="D37" s="98"/>
      <c r="E37" s="98"/>
      <c r="F37" s="98"/>
      <c r="G37" s="140"/>
      <c r="H37" s="87"/>
      <c r="J37" s="99" t="s">
        <v>30</v>
      </c>
      <c r="K37" s="100"/>
      <c r="L37" s="100"/>
      <c r="M37" s="101"/>
      <c r="N37" s="88">
        <v>164.12</v>
      </c>
    </row>
    <row r="38" spans="2:14" s="22" customFormat="1" ht="15.75" customHeight="1" x14ac:dyDescent="0.2">
      <c r="B38" s="139" t="s">
        <v>42</v>
      </c>
      <c r="C38" s="98"/>
      <c r="D38" s="98"/>
      <c r="E38" s="98"/>
      <c r="F38" s="98"/>
      <c r="G38" s="140"/>
      <c r="H38" s="87"/>
      <c r="J38" s="99" t="s">
        <v>31</v>
      </c>
      <c r="K38" s="100"/>
      <c r="L38" s="100"/>
      <c r="M38" s="101"/>
      <c r="N38" s="89">
        <v>4.8600000000000003</v>
      </c>
    </row>
    <row r="39" spans="2:14" s="22" customFormat="1" ht="15.75" customHeight="1" x14ac:dyDescent="0.2">
      <c r="B39" s="139" t="s">
        <v>46</v>
      </c>
      <c r="C39" s="98"/>
      <c r="D39" s="98"/>
      <c r="E39" s="98"/>
      <c r="F39" s="98"/>
      <c r="G39" s="140"/>
      <c r="H39" s="87"/>
      <c r="J39" s="99" t="s">
        <v>32</v>
      </c>
      <c r="K39" s="100"/>
      <c r="L39" s="100"/>
      <c r="M39" s="101"/>
      <c r="N39" s="90">
        <v>0.8155</v>
      </c>
    </row>
    <row r="40" spans="2:14" s="22" customFormat="1" ht="15.75" thickBot="1" x14ac:dyDescent="0.25">
      <c r="B40" s="136" t="s">
        <v>36</v>
      </c>
      <c r="C40" s="137"/>
      <c r="D40" s="137"/>
      <c r="E40" s="137"/>
      <c r="F40" s="137"/>
      <c r="G40" s="138"/>
      <c r="H40" s="87"/>
      <c r="J40" s="99" t="s">
        <v>34</v>
      </c>
      <c r="K40" s="100"/>
      <c r="L40" s="100"/>
      <c r="M40" s="101"/>
      <c r="N40" s="88">
        <v>66.540000000000006</v>
      </c>
    </row>
    <row r="41" spans="2:14" s="22" customFormat="1" ht="15.75" x14ac:dyDescent="0.25">
      <c r="J41" s="102" t="s">
        <v>38</v>
      </c>
      <c r="K41" s="103"/>
      <c r="L41" s="103"/>
      <c r="M41" s="104"/>
      <c r="N41" s="88">
        <v>4572.57</v>
      </c>
    </row>
    <row r="42" spans="2:14" s="22" customFormat="1" ht="10.15" customHeight="1" x14ac:dyDescent="0.2">
      <c r="J42" s="75"/>
      <c r="L42" s="76"/>
    </row>
    <row r="43" spans="2:14" s="22" customFormat="1" ht="10.15" customHeight="1" x14ac:dyDescent="0.2">
      <c r="B43" s="105" t="s">
        <v>41</v>
      </c>
      <c r="C43" s="106"/>
      <c r="D43" s="106"/>
      <c r="E43" s="106"/>
      <c r="F43" s="106"/>
      <c r="G43" s="106"/>
      <c r="H43" s="106"/>
      <c r="I43" s="106"/>
      <c r="J43" s="106"/>
      <c r="K43" s="106"/>
      <c r="L43" s="106"/>
      <c r="M43" s="106"/>
      <c r="N43" s="107"/>
    </row>
    <row r="44" spans="2:14" s="22" customFormat="1" ht="10.15" customHeight="1" x14ac:dyDescent="0.2">
      <c r="B44" s="108"/>
      <c r="C44" s="109"/>
      <c r="D44" s="109"/>
      <c r="E44" s="109"/>
      <c r="F44" s="109"/>
      <c r="G44" s="109"/>
      <c r="H44" s="109"/>
      <c r="I44" s="109"/>
      <c r="J44" s="109"/>
      <c r="K44" s="109"/>
      <c r="L44" s="109"/>
      <c r="M44" s="109"/>
      <c r="N44" s="110"/>
    </row>
    <row r="45" spans="2:14" s="22" customFormat="1" ht="10.15" customHeight="1" x14ac:dyDescent="0.2">
      <c r="B45" s="108"/>
      <c r="C45" s="109"/>
      <c r="D45" s="109"/>
      <c r="E45" s="109"/>
      <c r="F45" s="109"/>
      <c r="G45" s="109"/>
      <c r="H45" s="109"/>
      <c r="I45" s="109"/>
      <c r="J45" s="109"/>
      <c r="K45" s="109"/>
      <c r="L45" s="109"/>
      <c r="M45" s="109"/>
      <c r="N45" s="110"/>
    </row>
    <row r="46" spans="2:14" s="22" customFormat="1" ht="10.15" customHeight="1" x14ac:dyDescent="0.2">
      <c r="B46" s="108"/>
      <c r="C46" s="109"/>
      <c r="D46" s="109"/>
      <c r="E46" s="109"/>
      <c r="F46" s="109"/>
      <c r="G46" s="109"/>
      <c r="H46" s="109"/>
      <c r="I46" s="109"/>
      <c r="J46" s="109"/>
      <c r="K46" s="109"/>
      <c r="L46" s="109"/>
      <c r="M46" s="109"/>
      <c r="N46" s="110"/>
    </row>
    <row r="47" spans="2:14" s="22" customFormat="1" ht="10.15" customHeight="1" x14ac:dyDescent="0.2">
      <c r="B47" s="108"/>
      <c r="C47" s="109"/>
      <c r="D47" s="109"/>
      <c r="E47" s="109"/>
      <c r="F47" s="109"/>
      <c r="G47" s="109"/>
      <c r="H47" s="109"/>
      <c r="I47" s="109"/>
      <c r="J47" s="109"/>
      <c r="K47" s="109"/>
      <c r="L47" s="109"/>
      <c r="M47" s="109"/>
      <c r="N47" s="110"/>
    </row>
    <row r="48" spans="2:14" s="22" customFormat="1" ht="10.15" customHeight="1" x14ac:dyDescent="0.2">
      <c r="B48" s="108"/>
      <c r="C48" s="109"/>
      <c r="D48" s="109"/>
      <c r="E48" s="109"/>
      <c r="F48" s="109"/>
      <c r="G48" s="109"/>
      <c r="H48" s="109"/>
      <c r="I48" s="109"/>
      <c r="J48" s="109"/>
      <c r="K48" s="109"/>
      <c r="L48" s="109"/>
      <c r="M48" s="109"/>
      <c r="N48" s="110"/>
    </row>
    <row r="49" spans="2:14" s="22" customFormat="1" ht="10.15" customHeight="1" x14ac:dyDescent="0.2">
      <c r="B49" s="111"/>
      <c r="C49" s="112"/>
      <c r="D49" s="112"/>
      <c r="E49" s="112"/>
      <c r="F49" s="112"/>
      <c r="G49" s="112"/>
      <c r="H49" s="112"/>
      <c r="I49" s="112"/>
      <c r="J49" s="112"/>
      <c r="K49" s="112"/>
      <c r="L49" s="112"/>
      <c r="M49" s="112"/>
      <c r="N49" s="113"/>
    </row>
  </sheetData>
  <mergeCells count="44">
    <mergeCell ref="B1:N1"/>
    <mergeCell ref="B2:N2"/>
    <mergeCell ref="B5:C5"/>
    <mergeCell ref="D5:G5"/>
    <mergeCell ref="K5:L5"/>
    <mergeCell ref="M5:N5"/>
    <mergeCell ref="C29:D29"/>
    <mergeCell ref="E29:F29"/>
    <mergeCell ref="J29:M29"/>
    <mergeCell ref="B6:C6"/>
    <mergeCell ref="D6:G6"/>
    <mergeCell ref="K6:L6"/>
    <mergeCell ref="M6:N6"/>
    <mergeCell ref="B8:G8"/>
    <mergeCell ref="I8:L8"/>
    <mergeCell ref="M8:N8"/>
    <mergeCell ref="B27:G27"/>
    <mergeCell ref="J27:N27"/>
    <mergeCell ref="C28:D28"/>
    <mergeCell ref="E28:F28"/>
    <mergeCell ref="J28:M28"/>
    <mergeCell ref="B36:G36"/>
    <mergeCell ref="J36:M36"/>
    <mergeCell ref="C30:D30"/>
    <mergeCell ref="E30:F30"/>
    <mergeCell ref="J30:M30"/>
    <mergeCell ref="C31:D31"/>
    <mergeCell ref="E31:F31"/>
    <mergeCell ref="J31:M31"/>
    <mergeCell ref="C32:D32"/>
    <mergeCell ref="E32:F32"/>
    <mergeCell ref="J32:M32"/>
    <mergeCell ref="B35:G35"/>
    <mergeCell ref="J35:N35"/>
    <mergeCell ref="B40:G40"/>
    <mergeCell ref="J40:M40"/>
    <mergeCell ref="J41:M41"/>
    <mergeCell ref="B43:N49"/>
    <mergeCell ref="B37:G37"/>
    <mergeCell ref="J37:M37"/>
    <mergeCell ref="B38:G38"/>
    <mergeCell ref="J38:M38"/>
    <mergeCell ref="B39:G39"/>
    <mergeCell ref="J39:M39"/>
  </mergeCells>
  <pageMargins left="0.7" right="0.7" top="0.75" bottom="0.75" header="0.3" footer="0.3"/>
  <pageSetup scale="6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49"/>
  <sheetViews>
    <sheetView topLeftCell="A3" workbookViewId="0">
      <selection activeCell="S21" sqref="S21"/>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34" t="s">
        <v>44</v>
      </c>
      <c r="C1" s="134"/>
      <c r="D1" s="134"/>
      <c r="E1" s="134"/>
      <c r="F1" s="134"/>
      <c r="G1" s="134"/>
      <c r="H1" s="134"/>
      <c r="I1" s="134"/>
      <c r="J1" s="134"/>
      <c r="K1" s="134"/>
      <c r="L1" s="134"/>
      <c r="M1" s="134"/>
      <c r="N1" s="134"/>
    </row>
    <row r="2" spans="2:26" s="1" customFormat="1" ht="20.25" customHeight="1" x14ac:dyDescent="0.25">
      <c r="B2" s="135" t="s">
        <v>39</v>
      </c>
      <c r="C2" s="135"/>
      <c r="D2" s="135"/>
      <c r="E2" s="135"/>
      <c r="F2" s="135"/>
      <c r="G2" s="135"/>
      <c r="H2" s="135"/>
      <c r="I2" s="135"/>
      <c r="J2" s="135"/>
      <c r="K2" s="135"/>
      <c r="L2" s="135"/>
      <c r="M2" s="135"/>
      <c r="N2" s="135"/>
      <c r="O2" s="2"/>
      <c r="P2" s="2"/>
      <c r="Q2" s="3"/>
      <c r="R2" s="2"/>
      <c r="S2" s="2"/>
      <c r="T2" s="2"/>
      <c r="U2" s="2"/>
      <c r="V2" s="2"/>
      <c r="W2" s="2"/>
      <c r="X2" s="2"/>
      <c r="Y2" s="2"/>
      <c r="Z2" s="2"/>
    </row>
    <row r="3" spans="2:26" s="1" customFormat="1" ht="20.25" customHeight="1" x14ac:dyDescent="0.25">
      <c r="G3" s="4" t="s">
        <v>0</v>
      </c>
      <c r="H3" s="5">
        <v>45839</v>
      </c>
      <c r="I3" s="20" t="s">
        <v>1</v>
      </c>
      <c r="J3" s="5">
        <v>46203</v>
      </c>
      <c r="L3" s="6"/>
      <c r="O3" s="7"/>
      <c r="P3" s="7"/>
      <c r="Q3" s="8"/>
      <c r="R3" s="9"/>
      <c r="S3" s="2"/>
      <c r="T3" s="2"/>
      <c r="U3" s="2"/>
      <c r="V3" s="2"/>
      <c r="W3" s="7"/>
      <c r="X3" s="10"/>
      <c r="Y3" s="11"/>
      <c r="Z3" s="11"/>
    </row>
    <row r="4" spans="2:26" s="1" customFormat="1" ht="20.25" customHeight="1" x14ac:dyDescent="0.25">
      <c r="B4" s="7"/>
      <c r="C4" s="7"/>
      <c r="D4" s="7"/>
      <c r="E4" s="7"/>
      <c r="F4" s="7"/>
      <c r="G4" s="2"/>
      <c r="H4" s="2" t="s">
        <v>56</v>
      </c>
      <c r="I4" s="12"/>
      <c r="J4" s="2"/>
      <c r="K4" s="7"/>
      <c r="L4" s="95"/>
      <c r="M4" s="11"/>
      <c r="N4" s="13"/>
      <c r="O4" s="11"/>
      <c r="P4" s="11"/>
      <c r="Q4" s="11"/>
      <c r="R4" s="11"/>
    </row>
    <row r="5" spans="2:26" s="1" customFormat="1" ht="20.25" customHeight="1" x14ac:dyDescent="0.25">
      <c r="B5" s="122" t="s">
        <v>2</v>
      </c>
      <c r="C5" s="122"/>
      <c r="D5" s="123" t="s">
        <v>43</v>
      </c>
      <c r="E5" s="123"/>
      <c r="F5" s="123"/>
      <c r="G5" s="123"/>
      <c r="H5" s="14"/>
      <c r="I5" s="15"/>
      <c r="J5" s="15"/>
      <c r="K5" s="122" t="s">
        <v>3</v>
      </c>
      <c r="L5" s="122"/>
      <c r="M5" s="123" t="s">
        <v>52</v>
      </c>
      <c r="N5" s="123"/>
    </row>
    <row r="6" spans="2:26" s="1" customFormat="1" ht="20.25" customHeight="1" x14ac:dyDescent="0.25">
      <c r="B6" s="122" t="s">
        <v>4</v>
      </c>
      <c r="C6" s="122"/>
      <c r="D6" s="123" t="s">
        <v>40</v>
      </c>
      <c r="E6" s="123"/>
      <c r="F6" s="123"/>
      <c r="G6" s="123"/>
      <c r="H6" s="14"/>
      <c r="I6" s="11"/>
      <c r="J6" s="11"/>
      <c r="K6" s="122" t="s">
        <v>5</v>
      </c>
      <c r="L6" s="122"/>
      <c r="M6" s="123" t="s">
        <v>53</v>
      </c>
      <c r="N6" s="123"/>
    </row>
    <row r="7" spans="2:26" ht="21" customHeight="1" thickBot="1" x14ac:dyDescent="0.25">
      <c r="C7" s="17"/>
      <c r="D7" s="17"/>
      <c r="E7" s="17"/>
    </row>
    <row r="8" spans="2:26" s="22" customFormat="1" ht="15.75" customHeight="1" thickBot="1" x14ac:dyDescent="0.25">
      <c r="B8" s="124" t="s">
        <v>6</v>
      </c>
      <c r="C8" s="125"/>
      <c r="D8" s="125"/>
      <c r="E8" s="125"/>
      <c r="F8" s="125"/>
      <c r="G8" s="125"/>
      <c r="H8" s="21" t="s">
        <v>7</v>
      </c>
      <c r="I8" s="127" t="s">
        <v>8</v>
      </c>
      <c r="J8" s="127"/>
      <c r="K8" s="127"/>
      <c r="L8" s="128"/>
      <c r="M8" s="129" t="s">
        <v>9</v>
      </c>
      <c r="N8" s="128"/>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45839</v>
      </c>
      <c r="C12" s="51">
        <v>2</v>
      </c>
      <c r="D12" s="51"/>
      <c r="E12" s="51"/>
      <c r="F12" s="51">
        <v>8</v>
      </c>
      <c r="G12" s="52">
        <f>SUM(C12:F12)</f>
        <v>10</v>
      </c>
      <c r="H12" s="53">
        <f t="shared" ref="H12:H23" si="0">(C12*$E$29)+(D12*$E$30)+(E12*$E$31)+(F12*$E$32)</f>
        <v>37.5</v>
      </c>
      <c r="I12" s="54">
        <f t="shared" ref="I12:I23" si="1">(C12*$C$29)+(D12*$C$30)+(E12*$C$31)+(F12*$C$32)</f>
        <v>549.46</v>
      </c>
      <c r="J12" s="55">
        <v>211</v>
      </c>
      <c r="K12" s="55">
        <v>105.5</v>
      </c>
      <c r="L12" s="52">
        <v>1</v>
      </c>
      <c r="M12" s="54">
        <f>H12+I12-K12</f>
        <v>481.46000000000004</v>
      </c>
      <c r="N12" s="91">
        <f>K12/(H12+I12)</f>
        <v>0.17973967561673707</v>
      </c>
      <c r="Q12" s="49"/>
      <c r="R12" s="49"/>
    </row>
    <row r="13" spans="2:26" s="22" customFormat="1" ht="15.75" customHeight="1" x14ac:dyDescent="0.2">
      <c r="B13" s="50">
        <v>45870</v>
      </c>
      <c r="C13" s="51">
        <v>2</v>
      </c>
      <c r="D13" s="51"/>
      <c r="E13" s="51"/>
      <c r="F13" s="51">
        <v>8</v>
      </c>
      <c r="G13" s="52">
        <f t="shared" ref="G13:G23" si="2">SUM(C13:F13)</f>
        <v>10</v>
      </c>
      <c r="H13" s="53">
        <f t="shared" si="0"/>
        <v>37.5</v>
      </c>
      <c r="I13" s="54">
        <f t="shared" si="1"/>
        <v>549.46</v>
      </c>
      <c r="J13" s="55">
        <v>1439</v>
      </c>
      <c r="K13" s="55">
        <v>1025.7</v>
      </c>
      <c r="L13" s="52">
        <v>6</v>
      </c>
      <c r="M13" s="54">
        <f t="shared" ref="M13:M23" si="3">H13+I13-K13</f>
        <v>-438.74</v>
      </c>
      <c r="N13" s="91">
        <f t="shared" ref="N13:N23" si="4">K13/(H13+I13)</f>
        <v>1.7474785334605425</v>
      </c>
      <c r="Q13" s="56"/>
      <c r="R13" s="49"/>
    </row>
    <row r="14" spans="2:26" s="22" customFormat="1" ht="15.75" customHeight="1" x14ac:dyDescent="0.2">
      <c r="B14" s="50">
        <v>45901</v>
      </c>
      <c r="C14" s="51">
        <v>2</v>
      </c>
      <c r="D14" s="51"/>
      <c r="E14" s="51"/>
      <c r="F14" s="51">
        <v>8</v>
      </c>
      <c r="G14" s="52">
        <f t="shared" si="2"/>
        <v>10</v>
      </c>
      <c r="H14" s="53">
        <f t="shared" si="0"/>
        <v>37.5</v>
      </c>
      <c r="I14" s="54">
        <f t="shared" si="1"/>
        <v>549.46</v>
      </c>
      <c r="J14" s="55">
        <v>405</v>
      </c>
      <c r="K14" s="55">
        <v>331</v>
      </c>
      <c r="L14" s="52">
        <v>3</v>
      </c>
      <c r="M14" s="54">
        <f t="shared" si="3"/>
        <v>255.96000000000004</v>
      </c>
      <c r="N14" s="91">
        <f t="shared" si="4"/>
        <v>0.56392258416246421</v>
      </c>
      <c r="Q14" s="56"/>
      <c r="R14" s="49"/>
    </row>
    <row r="15" spans="2:26" s="22" customFormat="1" ht="15.75" customHeight="1" x14ac:dyDescent="0.2">
      <c r="B15" s="50">
        <v>45931</v>
      </c>
      <c r="C15" s="51">
        <v>2</v>
      </c>
      <c r="D15" s="51"/>
      <c r="E15" s="51"/>
      <c r="F15" s="51">
        <v>9</v>
      </c>
      <c r="G15" s="52">
        <f t="shared" si="2"/>
        <v>11</v>
      </c>
      <c r="H15" s="53">
        <f t="shared" si="0"/>
        <v>41.25</v>
      </c>
      <c r="I15" s="54">
        <f t="shared" si="1"/>
        <v>612.51</v>
      </c>
      <c r="J15" s="55">
        <v>638</v>
      </c>
      <c r="K15" s="55">
        <v>472.1</v>
      </c>
      <c r="L15" s="52">
        <v>2</v>
      </c>
      <c r="M15" s="54">
        <f t="shared" si="3"/>
        <v>181.65999999999997</v>
      </c>
      <c r="N15" s="91">
        <f t="shared" si="4"/>
        <v>0.72213044542339699</v>
      </c>
      <c r="Q15" s="56"/>
      <c r="R15" s="49"/>
    </row>
    <row r="16" spans="2:26" s="22" customFormat="1" ht="15.75" customHeight="1" x14ac:dyDescent="0.2">
      <c r="B16" s="50">
        <v>45962</v>
      </c>
      <c r="C16" s="51">
        <v>2</v>
      </c>
      <c r="D16" s="51"/>
      <c r="E16" s="51"/>
      <c r="F16" s="51">
        <v>9</v>
      </c>
      <c r="G16" s="52">
        <f t="shared" si="2"/>
        <v>11</v>
      </c>
      <c r="H16" s="53">
        <f t="shared" si="0"/>
        <v>41.25</v>
      </c>
      <c r="I16" s="54">
        <f t="shared" si="1"/>
        <v>612.51</v>
      </c>
      <c r="J16" s="55">
        <v>0</v>
      </c>
      <c r="K16" s="55">
        <v>0</v>
      </c>
      <c r="L16" s="52">
        <v>0</v>
      </c>
      <c r="M16" s="54">
        <f t="shared" si="3"/>
        <v>653.76</v>
      </c>
      <c r="N16" s="91">
        <f t="shared" si="4"/>
        <v>0</v>
      </c>
      <c r="Q16" s="56"/>
      <c r="R16" s="49"/>
    </row>
    <row r="17" spans="2:18" s="22" customFormat="1" ht="15.75" customHeight="1" x14ac:dyDescent="0.2">
      <c r="B17" s="50">
        <v>45992</v>
      </c>
      <c r="C17" s="51">
        <v>2</v>
      </c>
      <c r="D17" s="51"/>
      <c r="E17" s="51"/>
      <c r="F17" s="51">
        <v>9</v>
      </c>
      <c r="G17" s="52">
        <f t="shared" si="2"/>
        <v>11</v>
      </c>
      <c r="H17" s="53">
        <f t="shared" si="0"/>
        <v>41.25</v>
      </c>
      <c r="I17" s="54">
        <f t="shared" si="1"/>
        <v>612.51</v>
      </c>
      <c r="J17" s="55">
        <v>225</v>
      </c>
      <c r="K17" s="55">
        <v>139.19999999999999</v>
      </c>
      <c r="L17" s="52">
        <v>1</v>
      </c>
      <c r="M17" s="54">
        <f t="shared" si="3"/>
        <v>514.55999999999995</v>
      </c>
      <c r="N17" s="91">
        <f t="shared" si="4"/>
        <v>0.21292217327459617</v>
      </c>
      <c r="Q17" s="56"/>
      <c r="R17" s="49"/>
    </row>
    <row r="18" spans="2:18" s="22" customFormat="1" ht="15.75" customHeight="1" x14ac:dyDescent="0.2">
      <c r="B18" s="50">
        <v>46023</v>
      </c>
      <c r="C18" s="51">
        <v>2</v>
      </c>
      <c r="D18" s="51"/>
      <c r="E18" s="51"/>
      <c r="F18" s="51">
        <v>10</v>
      </c>
      <c r="G18" s="52">
        <f t="shared" si="2"/>
        <v>12</v>
      </c>
      <c r="H18" s="53">
        <f t="shared" si="0"/>
        <v>45</v>
      </c>
      <c r="I18" s="54">
        <f t="shared" si="1"/>
        <v>675.56</v>
      </c>
      <c r="J18" s="55">
        <v>0</v>
      </c>
      <c r="K18" s="55">
        <v>0</v>
      </c>
      <c r="L18" s="52">
        <v>0</v>
      </c>
      <c r="M18" s="54">
        <f t="shared" si="3"/>
        <v>720.56</v>
      </c>
      <c r="N18" s="91">
        <f t="shared" si="4"/>
        <v>0</v>
      </c>
      <c r="Q18" s="56"/>
      <c r="R18" s="49"/>
    </row>
    <row r="19" spans="2:18" s="22" customFormat="1" ht="15.75" customHeight="1" x14ac:dyDescent="0.2">
      <c r="B19" s="50">
        <v>46054</v>
      </c>
      <c r="C19" s="51">
        <v>3</v>
      </c>
      <c r="D19" s="51"/>
      <c r="E19" s="51"/>
      <c r="F19" s="51">
        <v>10</v>
      </c>
      <c r="G19" s="52">
        <f t="shared" si="2"/>
        <v>13</v>
      </c>
      <c r="H19" s="53">
        <f t="shared" si="0"/>
        <v>48.75</v>
      </c>
      <c r="I19" s="54">
        <f t="shared" si="1"/>
        <v>698.09</v>
      </c>
      <c r="J19" s="55">
        <v>409</v>
      </c>
      <c r="K19" s="55">
        <v>298.3</v>
      </c>
      <c r="L19" s="52">
        <v>2</v>
      </c>
      <c r="M19" s="54">
        <f t="shared" si="3"/>
        <v>448.54</v>
      </c>
      <c r="N19" s="91">
        <f t="shared" si="4"/>
        <v>0.39941620695195756</v>
      </c>
      <c r="Q19" s="56"/>
      <c r="R19" s="49"/>
    </row>
    <row r="20" spans="2:18" s="22" customFormat="1" ht="15.75" customHeight="1" x14ac:dyDescent="0.2">
      <c r="B20" s="50">
        <v>46082</v>
      </c>
      <c r="C20" s="51">
        <v>3</v>
      </c>
      <c r="D20" s="51"/>
      <c r="E20" s="51"/>
      <c r="F20" s="51">
        <v>9</v>
      </c>
      <c r="G20" s="52">
        <f t="shared" si="2"/>
        <v>12</v>
      </c>
      <c r="H20" s="53">
        <f t="shared" si="0"/>
        <v>45</v>
      </c>
      <c r="I20" s="54">
        <f t="shared" si="1"/>
        <v>635.04</v>
      </c>
      <c r="J20" s="55">
        <v>2030</v>
      </c>
      <c r="K20" s="55">
        <v>1015</v>
      </c>
      <c r="L20" s="52">
        <v>6</v>
      </c>
      <c r="M20" s="54">
        <f t="shared" si="3"/>
        <v>-334.96000000000004</v>
      </c>
      <c r="N20" s="91">
        <f t="shared" si="4"/>
        <v>1.4925592612199283</v>
      </c>
      <c r="Q20" s="56"/>
      <c r="R20" s="49"/>
    </row>
    <row r="21" spans="2:18" s="22" customFormat="1" ht="15.75" customHeight="1" x14ac:dyDescent="0.2">
      <c r="B21" s="50">
        <v>46113</v>
      </c>
      <c r="C21" s="51">
        <v>3</v>
      </c>
      <c r="D21" s="51"/>
      <c r="E21" s="51"/>
      <c r="F21" s="51">
        <v>9</v>
      </c>
      <c r="G21" s="52">
        <f t="shared" si="2"/>
        <v>12</v>
      </c>
      <c r="H21" s="53">
        <f t="shared" si="0"/>
        <v>45</v>
      </c>
      <c r="I21" s="54">
        <f t="shared" si="1"/>
        <v>635.04</v>
      </c>
      <c r="J21" s="55">
        <v>170</v>
      </c>
      <c r="K21" s="55">
        <v>110</v>
      </c>
      <c r="L21" s="52">
        <v>1</v>
      </c>
      <c r="M21" s="54">
        <f t="shared" si="3"/>
        <v>570.04</v>
      </c>
      <c r="N21" s="91">
        <f t="shared" si="4"/>
        <v>0.16175519087112525</v>
      </c>
      <c r="Q21" s="56"/>
      <c r="R21" s="49"/>
    </row>
    <row r="22" spans="2:18" s="22" customFormat="1" ht="15.75" customHeight="1" x14ac:dyDescent="0.2">
      <c r="B22" s="50">
        <v>46143</v>
      </c>
      <c r="C22" s="51">
        <v>3</v>
      </c>
      <c r="D22" s="51"/>
      <c r="E22" s="51"/>
      <c r="F22" s="51">
        <v>9</v>
      </c>
      <c r="G22" s="52">
        <f t="shared" si="2"/>
        <v>12</v>
      </c>
      <c r="H22" s="53">
        <f t="shared" si="0"/>
        <v>45</v>
      </c>
      <c r="I22" s="54">
        <f t="shared" si="1"/>
        <v>635.04</v>
      </c>
      <c r="J22" s="55">
        <v>0</v>
      </c>
      <c r="K22" s="55">
        <v>0</v>
      </c>
      <c r="L22" s="52">
        <v>0</v>
      </c>
      <c r="M22" s="54">
        <f t="shared" si="3"/>
        <v>680.04</v>
      </c>
      <c r="N22" s="91">
        <f t="shared" si="4"/>
        <v>0</v>
      </c>
      <c r="Q22" s="56"/>
      <c r="R22" s="49"/>
    </row>
    <row r="23" spans="2:18" s="22" customFormat="1" ht="15.75" customHeight="1" x14ac:dyDescent="0.2">
      <c r="B23" s="50">
        <v>46174</v>
      </c>
      <c r="C23" s="51">
        <v>3</v>
      </c>
      <c r="D23" s="51"/>
      <c r="E23" s="51"/>
      <c r="F23" s="51">
        <v>9</v>
      </c>
      <c r="G23" s="52">
        <f t="shared" si="2"/>
        <v>12</v>
      </c>
      <c r="H23" s="53">
        <f t="shared" si="0"/>
        <v>45</v>
      </c>
      <c r="I23" s="54">
        <f t="shared" si="1"/>
        <v>635.04</v>
      </c>
      <c r="J23" s="55">
        <v>0</v>
      </c>
      <c r="K23" s="55">
        <v>0</v>
      </c>
      <c r="L23" s="52">
        <v>0</v>
      </c>
      <c r="M23" s="54">
        <f t="shared" si="3"/>
        <v>680.04</v>
      </c>
      <c r="N23" s="91">
        <f t="shared" si="4"/>
        <v>0</v>
      </c>
      <c r="Q23" s="56"/>
      <c r="R23" s="49"/>
    </row>
    <row r="24" spans="2:18" s="22" customFormat="1" ht="15.75" customHeight="1" thickBot="1" x14ac:dyDescent="0.25">
      <c r="B24" s="57"/>
      <c r="C24" s="58"/>
      <c r="D24" s="58"/>
      <c r="E24" s="58"/>
      <c r="F24" s="58"/>
      <c r="G24" s="59"/>
      <c r="H24" s="60"/>
      <c r="I24" s="61"/>
      <c r="J24" s="62"/>
      <c r="K24" s="63"/>
      <c r="L24" s="64"/>
      <c r="M24" s="65"/>
      <c r="N24" s="66"/>
    </row>
    <row r="25" spans="2:18" s="74" customFormat="1" ht="15.75" customHeight="1" thickBot="1" x14ac:dyDescent="0.3">
      <c r="B25" s="67" t="s">
        <v>23</v>
      </c>
      <c r="C25" s="68">
        <f>AVERAGEIF(C12:C17,"&gt;0")</f>
        <v>2</v>
      </c>
      <c r="D25" s="68"/>
      <c r="E25" s="68"/>
      <c r="F25" s="68">
        <f>AVERAGEIF(F12:F17,"&gt;0")</f>
        <v>8.5</v>
      </c>
      <c r="G25" s="68">
        <f>AVERAGEIF(G12:G17,"&gt;0")</f>
        <v>10.5</v>
      </c>
      <c r="H25" s="69">
        <f>SUM(H11:H23)</f>
        <v>510</v>
      </c>
      <c r="I25" s="69">
        <f>SUM(I11:I23)</f>
        <v>7399.7200000000012</v>
      </c>
      <c r="J25" s="70">
        <f>SUM(J11:J23)</f>
        <v>5527</v>
      </c>
      <c r="K25" s="71">
        <f>SUM(K11:K23)</f>
        <v>3496.8</v>
      </c>
      <c r="L25" s="72">
        <f>SUM(L12:L23)</f>
        <v>22</v>
      </c>
      <c r="M25" s="69">
        <f>SUM(M12:M23)</f>
        <v>4412.92</v>
      </c>
      <c r="N25" s="73">
        <f>IF((H25+I25)&gt;0,K25/(H25+I25),"")</f>
        <v>0.44208897407240705</v>
      </c>
    </row>
    <row r="26" spans="2:18" s="22" customFormat="1" ht="15.75" customHeight="1" x14ac:dyDescent="0.2">
      <c r="J26" s="75"/>
      <c r="L26" s="76"/>
    </row>
    <row r="27" spans="2:18" s="22" customFormat="1" ht="15.75" customHeight="1" x14ac:dyDescent="0.25">
      <c r="B27" s="148" t="s">
        <v>24</v>
      </c>
      <c r="C27" s="149"/>
      <c r="D27" s="149"/>
      <c r="E27" s="149"/>
      <c r="F27" s="149"/>
      <c r="G27" s="150"/>
      <c r="H27" s="77"/>
      <c r="J27" s="130" t="s">
        <v>25</v>
      </c>
      <c r="K27" s="131"/>
      <c r="L27" s="131"/>
      <c r="M27" s="131"/>
      <c r="N27" s="132"/>
    </row>
    <row r="28" spans="2:18" s="22" customFormat="1" ht="15.75" customHeight="1" x14ac:dyDescent="0.2">
      <c r="B28" s="78"/>
      <c r="C28" s="131" t="s">
        <v>26</v>
      </c>
      <c r="D28" s="132"/>
      <c r="E28" s="151" t="s">
        <v>27</v>
      </c>
      <c r="F28" s="132"/>
      <c r="G28" s="79" t="s">
        <v>15</v>
      </c>
      <c r="H28" s="75"/>
      <c r="J28" s="115" t="s">
        <v>28</v>
      </c>
      <c r="K28" s="116"/>
      <c r="L28" s="116"/>
      <c r="M28" s="117"/>
      <c r="N28" s="92">
        <f>J25/L25</f>
        <v>251.22727272727272</v>
      </c>
    </row>
    <row r="29" spans="2:18" s="22" customFormat="1" ht="15.75" customHeight="1" x14ac:dyDescent="0.2">
      <c r="B29" s="80" t="s">
        <v>29</v>
      </c>
      <c r="C29" s="146">
        <v>22.53</v>
      </c>
      <c r="D29" s="145"/>
      <c r="E29" s="144">
        <v>3.75</v>
      </c>
      <c r="F29" s="145"/>
      <c r="G29" s="81">
        <f>C29+E29</f>
        <v>26.28</v>
      </c>
      <c r="H29" s="82"/>
      <c r="J29" s="115" t="s">
        <v>30</v>
      </c>
      <c r="K29" s="116"/>
      <c r="L29" s="116"/>
      <c r="M29" s="117"/>
      <c r="N29" s="92">
        <f>K25/L25</f>
        <v>158.94545454545457</v>
      </c>
    </row>
    <row r="30" spans="2:18" s="22" customFormat="1" ht="15.75" customHeight="1" x14ac:dyDescent="0.2">
      <c r="B30" s="83"/>
      <c r="C30" s="144"/>
      <c r="D30" s="145"/>
      <c r="E30" s="144"/>
      <c r="F30" s="145"/>
      <c r="G30" s="81"/>
      <c r="H30" s="82"/>
      <c r="J30" s="115" t="s">
        <v>31</v>
      </c>
      <c r="K30" s="116"/>
      <c r="L30" s="116"/>
      <c r="M30" s="117"/>
      <c r="N30" s="93">
        <f>((L25/COUNTIF(G12:G17,"&gt;0"))*12)/G25</f>
        <v>4.1904761904761907</v>
      </c>
    </row>
    <row r="31" spans="2:18" s="22" customFormat="1" ht="15.75" customHeight="1" x14ac:dyDescent="0.2">
      <c r="B31" s="80"/>
      <c r="C31" s="144"/>
      <c r="D31" s="145"/>
      <c r="E31" s="144"/>
      <c r="F31" s="145"/>
      <c r="G31" s="81"/>
      <c r="H31" s="82"/>
      <c r="J31" s="115" t="s">
        <v>32</v>
      </c>
      <c r="K31" s="116"/>
      <c r="L31" s="116"/>
      <c r="M31" s="117"/>
      <c r="N31" s="94">
        <f>K25/J25</f>
        <v>0.63267595440564506</v>
      </c>
    </row>
    <row r="32" spans="2:18" s="22" customFormat="1" ht="15.75" customHeight="1" x14ac:dyDescent="0.2">
      <c r="B32" s="80" t="s">
        <v>33</v>
      </c>
      <c r="C32" s="146">
        <v>63.05</v>
      </c>
      <c r="D32" s="145"/>
      <c r="E32" s="144">
        <v>3.75</v>
      </c>
      <c r="F32" s="145"/>
      <c r="G32" s="81">
        <f>C32+E32</f>
        <v>66.8</v>
      </c>
      <c r="H32" s="82"/>
      <c r="J32" s="115" t="s">
        <v>34</v>
      </c>
      <c r="K32" s="116"/>
      <c r="L32" s="116"/>
      <c r="M32" s="117"/>
      <c r="N32" s="92">
        <f>K25/G25/(COUNTIF(G12:G17,"&gt;0"))</f>
        <v>55.504761904761914</v>
      </c>
    </row>
    <row r="33" spans="2:14" s="22" customFormat="1" ht="15.75" customHeight="1" x14ac:dyDescent="0.2">
      <c r="C33" s="82"/>
      <c r="D33" s="82"/>
      <c r="E33" s="82"/>
      <c r="F33" s="84"/>
      <c r="G33" s="82"/>
      <c r="H33" s="82"/>
      <c r="J33" s="85"/>
      <c r="K33" s="85"/>
      <c r="L33" s="85"/>
      <c r="M33" s="85"/>
      <c r="N33" s="86"/>
    </row>
    <row r="34" spans="2:14" s="22" customFormat="1" ht="15.75" customHeight="1" thickBot="1" x14ac:dyDescent="0.25">
      <c r="J34" s="75"/>
      <c r="L34" s="76"/>
    </row>
    <row r="35" spans="2:14" s="22" customFormat="1" ht="15.75" customHeight="1" thickBot="1" x14ac:dyDescent="0.3">
      <c r="B35" s="147" t="s">
        <v>35</v>
      </c>
      <c r="C35" s="147"/>
      <c r="D35" s="147"/>
      <c r="E35" s="147"/>
      <c r="F35" s="147"/>
      <c r="G35" s="147"/>
      <c r="H35" s="77"/>
      <c r="J35" s="119" t="s">
        <v>37</v>
      </c>
      <c r="K35" s="120"/>
      <c r="L35" s="120"/>
      <c r="M35" s="120"/>
      <c r="N35" s="121"/>
    </row>
    <row r="36" spans="2:14" s="22" customFormat="1" ht="15.75" customHeight="1" x14ac:dyDescent="0.2">
      <c r="B36" s="141" t="s">
        <v>47</v>
      </c>
      <c r="C36" s="142"/>
      <c r="D36" s="142"/>
      <c r="E36" s="142"/>
      <c r="F36" s="142"/>
      <c r="G36" s="143"/>
      <c r="H36" s="87"/>
      <c r="J36" s="99" t="s">
        <v>28</v>
      </c>
      <c r="K36" s="100"/>
      <c r="L36" s="100"/>
      <c r="M36" s="101"/>
      <c r="N36" s="88">
        <v>306.5</v>
      </c>
    </row>
    <row r="37" spans="2:14" s="22" customFormat="1" ht="15.75" customHeight="1" x14ac:dyDescent="0.2">
      <c r="B37" s="139" t="s">
        <v>48</v>
      </c>
      <c r="C37" s="98"/>
      <c r="D37" s="98"/>
      <c r="E37" s="98"/>
      <c r="F37" s="98"/>
      <c r="G37" s="140"/>
      <c r="H37" s="87"/>
      <c r="J37" s="99" t="s">
        <v>30</v>
      </c>
      <c r="K37" s="100"/>
      <c r="L37" s="100"/>
      <c r="M37" s="101"/>
      <c r="N37" s="88">
        <v>161.97999999999999</v>
      </c>
    </row>
    <row r="38" spans="2:14" s="22" customFormat="1" ht="15.75" customHeight="1" x14ac:dyDescent="0.2">
      <c r="B38" s="139" t="s">
        <v>42</v>
      </c>
      <c r="C38" s="98"/>
      <c r="D38" s="98"/>
      <c r="E38" s="98"/>
      <c r="F38" s="98"/>
      <c r="G38" s="140"/>
      <c r="H38" s="87"/>
      <c r="J38" s="99" t="s">
        <v>31</v>
      </c>
      <c r="K38" s="100"/>
      <c r="L38" s="100"/>
      <c r="M38" s="101"/>
      <c r="N38" s="89">
        <v>5.6</v>
      </c>
    </row>
    <row r="39" spans="2:14" s="22" customFormat="1" ht="15.75" customHeight="1" x14ac:dyDescent="0.2">
      <c r="B39" s="139" t="s">
        <v>46</v>
      </c>
      <c r="C39" s="98"/>
      <c r="D39" s="98"/>
      <c r="E39" s="98"/>
      <c r="F39" s="98"/>
      <c r="G39" s="140"/>
      <c r="H39" s="87"/>
      <c r="J39" s="99" t="s">
        <v>32</v>
      </c>
      <c r="K39" s="100"/>
      <c r="L39" s="100"/>
      <c r="M39" s="101"/>
      <c r="N39" s="90">
        <v>0.52849999999999997</v>
      </c>
    </row>
    <row r="40" spans="2:14" s="22" customFormat="1" ht="15.75" thickBot="1" x14ac:dyDescent="0.25">
      <c r="B40" s="136" t="s">
        <v>36</v>
      </c>
      <c r="C40" s="137"/>
      <c r="D40" s="137"/>
      <c r="E40" s="137"/>
      <c r="F40" s="137"/>
      <c r="G40" s="138"/>
      <c r="H40" s="87"/>
      <c r="J40" s="99" t="s">
        <v>34</v>
      </c>
      <c r="K40" s="100"/>
      <c r="L40" s="100"/>
      <c r="M40" s="101"/>
      <c r="N40" s="88">
        <v>75.59</v>
      </c>
    </row>
    <row r="41" spans="2:14" s="22" customFormat="1" ht="15.75" x14ac:dyDescent="0.25">
      <c r="J41" s="102" t="s">
        <v>38</v>
      </c>
      <c r="K41" s="103"/>
      <c r="L41" s="103"/>
      <c r="M41" s="104"/>
      <c r="N41" s="88">
        <v>3647.75</v>
      </c>
    </row>
    <row r="42" spans="2:14" s="22" customFormat="1" ht="10.15" customHeight="1" x14ac:dyDescent="0.2">
      <c r="J42" s="75"/>
      <c r="L42" s="76"/>
    </row>
    <row r="43" spans="2:14" s="22" customFormat="1" ht="10.15" customHeight="1" x14ac:dyDescent="0.2">
      <c r="B43" s="105" t="s">
        <v>41</v>
      </c>
      <c r="C43" s="106"/>
      <c r="D43" s="106"/>
      <c r="E43" s="106"/>
      <c r="F43" s="106"/>
      <c r="G43" s="106"/>
      <c r="H43" s="106"/>
      <c r="I43" s="106"/>
      <c r="J43" s="106"/>
      <c r="K43" s="106"/>
      <c r="L43" s="106"/>
      <c r="M43" s="106"/>
      <c r="N43" s="107"/>
    </row>
    <row r="44" spans="2:14" s="22" customFormat="1" ht="10.15" customHeight="1" x14ac:dyDescent="0.2">
      <c r="B44" s="108"/>
      <c r="C44" s="109"/>
      <c r="D44" s="109"/>
      <c r="E44" s="109"/>
      <c r="F44" s="109"/>
      <c r="G44" s="109"/>
      <c r="H44" s="109"/>
      <c r="I44" s="109"/>
      <c r="J44" s="109"/>
      <c r="K44" s="109"/>
      <c r="L44" s="109"/>
      <c r="M44" s="109"/>
      <c r="N44" s="110"/>
    </row>
    <row r="45" spans="2:14" s="22" customFormat="1" ht="10.15" customHeight="1" x14ac:dyDescent="0.2">
      <c r="B45" s="108"/>
      <c r="C45" s="109"/>
      <c r="D45" s="109"/>
      <c r="E45" s="109"/>
      <c r="F45" s="109"/>
      <c r="G45" s="109"/>
      <c r="H45" s="109"/>
      <c r="I45" s="109"/>
      <c r="J45" s="109"/>
      <c r="K45" s="109"/>
      <c r="L45" s="109"/>
      <c r="M45" s="109"/>
      <c r="N45" s="110"/>
    </row>
    <row r="46" spans="2:14" s="22" customFormat="1" ht="10.15" customHeight="1" x14ac:dyDescent="0.2">
      <c r="B46" s="108"/>
      <c r="C46" s="109"/>
      <c r="D46" s="109"/>
      <c r="E46" s="109"/>
      <c r="F46" s="109"/>
      <c r="G46" s="109"/>
      <c r="H46" s="109"/>
      <c r="I46" s="109"/>
      <c r="J46" s="109"/>
      <c r="K46" s="109"/>
      <c r="L46" s="109"/>
      <c r="M46" s="109"/>
      <c r="N46" s="110"/>
    </row>
    <row r="47" spans="2:14" s="22" customFormat="1" ht="10.15" customHeight="1" x14ac:dyDescent="0.2">
      <c r="B47" s="108"/>
      <c r="C47" s="109"/>
      <c r="D47" s="109"/>
      <c r="E47" s="109"/>
      <c r="F47" s="109"/>
      <c r="G47" s="109"/>
      <c r="H47" s="109"/>
      <c r="I47" s="109"/>
      <c r="J47" s="109"/>
      <c r="K47" s="109"/>
      <c r="L47" s="109"/>
      <c r="M47" s="109"/>
      <c r="N47" s="110"/>
    </row>
    <row r="48" spans="2:14" s="22" customFormat="1" ht="10.15" customHeight="1" x14ac:dyDescent="0.2">
      <c r="B48" s="108"/>
      <c r="C48" s="109"/>
      <c r="D48" s="109"/>
      <c r="E48" s="109"/>
      <c r="F48" s="109"/>
      <c r="G48" s="109"/>
      <c r="H48" s="109"/>
      <c r="I48" s="109"/>
      <c r="J48" s="109"/>
      <c r="K48" s="109"/>
      <c r="L48" s="109"/>
      <c r="M48" s="109"/>
      <c r="N48" s="110"/>
    </row>
    <row r="49" spans="2:14" s="22" customFormat="1" ht="10.15" customHeight="1" x14ac:dyDescent="0.2">
      <c r="B49" s="111"/>
      <c r="C49" s="112"/>
      <c r="D49" s="112"/>
      <c r="E49" s="112"/>
      <c r="F49" s="112"/>
      <c r="G49" s="112"/>
      <c r="H49" s="112"/>
      <c r="I49" s="112"/>
      <c r="J49" s="112"/>
      <c r="K49" s="112"/>
      <c r="L49" s="112"/>
      <c r="M49" s="112"/>
      <c r="N49" s="113"/>
    </row>
  </sheetData>
  <mergeCells count="44">
    <mergeCell ref="J32:M32"/>
    <mergeCell ref="B35:G35"/>
    <mergeCell ref="C32:D32"/>
    <mergeCell ref="E32:F32"/>
    <mergeCell ref="C31:D31"/>
    <mergeCell ref="E31:F31"/>
    <mergeCell ref="J31:M31"/>
    <mergeCell ref="B43:N49"/>
    <mergeCell ref="J41:M41"/>
    <mergeCell ref="J35:N35"/>
    <mergeCell ref="J36:M36"/>
    <mergeCell ref="J37:M37"/>
    <mergeCell ref="J38:M38"/>
    <mergeCell ref="J39:M39"/>
    <mergeCell ref="J40:M40"/>
    <mergeCell ref="B39:G39"/>
    <mergeCell ref="B40:G40"/>
    <mergeCell ref="B37:G37"/>
    <mergeCell ref="B38:G38"/>
    <mergeCell ref="B36:G36"/>
    <mergeCell ref="C29:D29"/>
    <mergeCell ref="E29:F29"/>
    <mergeCell ref="J29:M29"/>
    <mergeCell ref="C30:D30"/>
    <mergeCell ref="E30:F30"/>
    <mergeCell ref="J30:M30"/>
    <mergeCell ref="B27:G27"/>
    <mergeCell ref="J27:N27"/>
    <mergeCell ref="C28:D28"/>
    <mergeCell ref="E28:F28"/>
    <mergeCell ref="J28:M28"/>
    <mergeCell ref="B6:C6"/>
    <mergeCell ref="D6:G6"/>
    <mergeCell ref="K6:L6"/>
    <mergeCell ref="M6:N6"/>
    <mergeCell ref="B8:G8"/>
    <mergeCell ref="I8:L8"/>
    <mergeCell ref="M8:N8"/>
    <mergeCell ref="B1:N1"/>
    <mergeCell ref="B2:N2"/>
    <mergeCell ref="B5:C5"/>
    <mergeCell ref="D5:G5"/>
    <mergeCell ref="K5:L5"/>
    <mergeCell ref="M5:N5"/>
  </mergeCells>
  <phoneticPr fontId="0" type="noConversion"/>
  <pageMargins left="0.7" right="0.7" top="0.75" bottom="0.75" header="0.3" footer="0.3"/>
  <pageSetup scale="6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Union</vt:lpstr>
      <vt:lpstr>Non Union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2026-06-01T20:26:32Z</cp:lastPrinted>
  <dcterms:created xsi:type="dcterms:W3CDTF">2010-01-16T14:52:12Z</dcterms:created>
  <dcterms:modified xsi:type="dcterms:W3CDTF">2026-07-01T19:31:55Z</dcterms:modified>
</cp:coreProperties>
</file>