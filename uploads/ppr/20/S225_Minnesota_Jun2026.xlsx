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7ECEB6FD-592B-44A6-BEF6-92F1A6D025F5}" xr6:coauthVersionLast="47" xr6:coauthVersionMax="47" xr10:uidLastSave="{00000000-0000-0000-0000-000000000000}"/>
  <bookViews>
    <workbookView xWindow="25695" yWindow="0" windowWidth="26010" windowHeight="20985" xr2:uid="{00000000-000D-0000-FFFF-FFFF00000000}"/>
  </bookViews>
  <sheets>
    <sheet name="Dent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6" i="1" l="1"/>
  <c r="N15" i="1"/>
  <c r="N14" i="1"/>
  <c r="N13" i="1"/>
  <c r="I12" i="1"/>
  <c r="N12" i="1"/>
  <c r="I11" i="1"/>
  <c r="L24" i="1"/>
  <c r="E29" i="1" l="1"/>
  <c r="E31" i="1"/>
  <c r="E28" i="1"/>
  <c r="B29" i="1" l="1"/>
  <c r="D24" i="1"/>
  <c r="G11" i="1"/>
  <c r="G12" i="1"/>
  <c r="G13" i="1"/>
  <c r="I13" i="1"/>
  <c r="G14" i="1"/>
  <c r="I14" i="1"/>
  <c r="G15" i="1"/>
  <c r="I15" i="1"/>
  <c r="G16" i="1"/>
  <c r="I16" i="1"/>
  <c r="G17" i="1"/>
  <c r="I17" i="1"/>
  <c r="G18" i="1"/>
  <c r="I18" i="1"/>
  <c r="G19" i="1"/>
  <c r="I19" i="1"/>
  <c r="G20" i="1"/>
  <c r="I20" i="1"/>
  <c r="G21" i="1"/>
  <c r="I21" i="1"/>
  <c r="G22" i="1"/>
  <c r="I22" i="1"/>
  <c r="C24" i="1"/>
  <c r="F24" i="1"/>
  <c r="J24" i="1"/>
  <c r="K24" i="1"/>
  <c r="N11" i="1" l="1"/>
  <c r="M11" i="1"/>
  <c r="M15" i="1"/>
  <c r="M22" i="1"/>
  <c r="M13" i="1"/>
  <c r="M20" i="1"/>
  <c r="M18" i="1"/>
  <c r="M14" i="1"/>
  <c r="N28" i="1"/>
  <c r="M16" i="1"/>
  <c r="M12" i="1"/>
  <c r="G24" i="1"/>
  <c r="N31" i="1" s="1"/>
  <c r="N27" i="1"/>
  <c r="N30" i="1"/>
  <c r="M17" i="1"/>
  <c r="M19" i="1"/>
  <c r="M21" i="1"/>
  <c r="I24" i="1"/>
  <c r="N24" i="1" s="1"/>
  <c r="H24" i="1"/>
  <c r="N29" i="1" l="1"/>
  <c r="M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Theresa Walden</author>
  </authors>
  <commentList>
    <comment ref="H11" authorId="0" shapeId="0" xr:uid="{00000000-0006-0000-0000-000001000000}">
      <text>
        <r>
          <rPr>
            <b/>
            <sz val="9"/>
            <color indexed="81"/>
            <rFont val="Tahoma"/>
            <family val="2"/>
          </rPr>
          <t>Theresa Walden:</t>
        </r>
        <r>
          <rPr>
            <sz val="9"/>
            <color indexed="81"/>
            <rFont val="Tahoma"/>
            <family val="2"/>
          </rPr>
          <t xml:space="preserve">
$100 flat fee per month
Admin Fee increase 2021
$125/cphj
$132 increase 25.cph
</t>
        </r>
      </text>
    </comment>
  </commentList>
</comments>
</file>

<file path=xl/sharedStrings.xml><?xml version="1.0" encoding="utf-8"?>
<sst xmlns="http://schemas.openxmlformats.org/spreadsheetml/2006/main" count="70" uniqueCount="54">
  <si>
    <t>Plan Year:</t>
  </si>
  <si>
    <t>through</t>
  </si>
  <si>
    <t>Group ID:</t>
  </si>
  <si>
    <t>Plan Name:</t>
  </si>
  <si>
    <t>Coverage:</t>
  </si>
  <si>
    <t>Plan ID:</t>
  </si>
  <si>
    <t>ENROLLMENT</t>
  </si>
  <si>
    <t>ADMIN</t>
  </si>
  <si>
    <t>CLAIMS</t>
  </si>
  <si>
    <t>PROFIT OR LOSS</t>
  </si>
  <si>
    <t>Mon, Yr</t>
  </si>
  <si>
    <t>EE</t>
  </si>
  <si>
    <t>EF</t>
  </si>
  <si>
    <t>Total</t>
  </si>
  <si>
    <t>Budgeted</t>
  </si>
  <si>
    <t>Submitted</t>
  </si>
  <si>
    <t>Paid</t>
  </si>
  <si>
    <t>Number</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</si>
  <si>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</si>
  <si>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</si>
  <si>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</si>
  <si>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</si>
  <si>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</si>
  <si>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</si>
  <si>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</si>
  <si>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</si>
  <si>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</si>
  <si>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</si>
  <si>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</si>
  <si>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</si>
  <si>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</si>
  <si>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</si>
  <si>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</si>
  <si>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</si>
  <si>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Minnesota Dental Association</t>
  </si>
  <si>
    <t>S225</t>
  </si>
  <si>
    <t>Dental</t>
  </si>
  <si>
    <t>S225DEN</t>
  </si>
  <si>
    <t>Standard</t>
  </si>
  <si>
    <t>Ortho covered for Adults and Children included in dental plan</t>
  </si>
  <si>
    <t>E+1</t>
  </si>
  <si>
    <t>Surplus/
Deficit</t>
  </si>
  <si>
    <t>Loss Ratio</t>
  </si>
  <si>
    <t>Flat Admin
 Fee</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</si>
  <si>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</si>
  <si>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Admin Fee</t>
  </si>
  <si>
    <t xml:space="preserve">Employees 100% of the first $250; 70% of the remaining </t>
  </si>
  <si>
    <t xml:space="preserve">Dependents 100% of the first $250; 70% of the remianing </t>
  </si>
  <si>
    <t>Annual max $1250</t>
  </si>
  <si>
    <t>Annual max $425</t>
  </si>
  <si>
    <t xml:space="preserve"> </t>
  </si>
  <si>
    <t>Average Number of Claims per Employee Per Year</t>
  </si>
  <si>
    <t>$132 per month</t>
  </si>
  <si>
    <t>$132 per 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</si>
</sst>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sz val="9"/>
      <color indexed="81"/>
      <name val="Tahoma"/>
      <family val="2"/>
    </font>
    <font>
      <b/>
      <sz val="9"/>
      <color indexed="81"/>
      <name val="Tahoma"/>
      <family val="2"/>
    </font>
    <font>
      <sz val="12"/>
      <name val="Arial"/>
      <family val="2"/>
    </font>
    <font>
      <b/>
      <sz val="12"/>
      <name val="Arial"/>
      <family val="2"/>
    </font>
    <font>
      <u/>
      <sz val="12"/>
      <name val="Arial"/>
      <family val="2"/>
    </font>
    <font>
      <b/>
      <sz val="12"/>
      <color rgb="FF00B050"/>
      <name val="Arial"/>
      <family val="2"/>
    </font>
    <font>
      <sz val="12"/>
      <color rgb="FF00B050"/>
      <name val="Arial"/>
      <family val="2"/>
    </font>
  </fonts>
  <fills count="2">
    <fill>
      <patternFill patternType="none"/>
    </fill>
    <fill>
      <patternFill patternType="gray125"/>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0">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3" fillId="0" borderId="0" xfId="0" applyFont="1" applyAlignment="1">
      <alignment horizontal="center"/>
    </xf>
    <xf numFmtId="0" fontId="13" fillId="0" borderId="0" xfId="0" applyFont="1"/>
    <xf numFmtId="166" fontId="14" fillId="0" borderId="3" xfId="0" applyNumberFormat="1" applyFont="1" applyBorder="1" applyAlignment="1">
      <alignment horizontal="center" wrapText="1"/>
    </xf>
    <xf numFmtId="0" fontId="14" fillId="0" borderId="5" xfId="0" applyFont="1" applyBorder="1" applyAlignment="1">
      <alignment horizontal="right"/>
    </xf>
    <xf numFmtId="166" fontId="14" fillId="0" borderId="6" xfId="0" applyNumberFormat="1" applyFont="1" applyBorder="1" applyAlignment="1">
      <alignment horizontal="right"/>
    </xf>
    <xf numFmtId="165" fontId="14" fillId="0" borderId="0" xfId="1" applyNumberFormat="1" applyFont="1" applyAlignment="1">
      <alignment horizontal="right"/>
    </xf>
    <xf numFmtId="0" fontId="14" fillId="0" borderId="2" xfId="0" applyFont="1" applyBorder="1" applyAlignment="1">
      <alignment horizontal="center" wrapText="1"/>
    </xf>
    <xf numFmtId="0" fontId="14" fillId="0" borderId="6" xfId="0" applyFont="1" applyBorder="1" applyAlignment="1">
      <alignment horizontal="center"/>
    </xf>
    <xf numFmtId="0" fontId="14" fillId="0" borderId="7" xfId="0" applyFont="1" applyBorder="1" applyAlignment="1">
      <alignment horizontal="center" wrapText="1"/>
    </xf>
    <xf numFmtId="0" fontId="14" fillId="0" borderId="5" xfId="0" applyFont="1" applyBorder="1" applyAlignment="1">
      <alignment horizontal="center" wrapText="1"/>
    </xf>
    <xf numFmtId="0" fontId="14" fillId="0" borderId="7" xfId="0" applyFont="1" applyBorder="1" applyAlignment="1">
      <alignment horizontal="center"/>
    </xf>
    <xf numFmtId="17" fontId="13" fillId="0" borderId="8" xfId="0" quotePrefix="1" applyNumberFormat="1" applyFont="1" applyBorder="1" applyAlignment="1">
      <alignment horizontal="right"/>
    </xf>
    <xf numFmtId="165" fontId="13" fillId="0" borderId="9" xfId="1" applyNumberFormat="1" applyFont="1" applyBorder="1" applyAlignment="1">
      <alignment horizontal="right"/>
    </xf>
    <xf numFmtId="165" fontId="13" fillId="0" borderId="10" xfId="1" applyNumberFormat="1" applyFont="1" applyBorder="1" applyAlignment="1">
      <alignment horizontal="right"/>
    </xf>
    <xf numFmtId="44" fontId="13" fillId="0" borderId="3" xfId="2" applyFont="1" applyBorder="1" applyAlignment="1">
      <alignment horizontal="right"/>
    </xf>
    <xf numFmtId="44" fontId="13" fillId="0" borderId="8" xfId="2" applyFont="1" applyBorder="1" applyAlignment="1">
      <alignment horizontal="right"/>
    </xf>
    <xf numFmtId="44" fontId="13" fillId="0" borderId="9" xfId="2" applyFont="1" applyBorder="1" applyAlignment="1">
      <alignment horizontal="center"/>
    </xf>
    <xf numFmtId="44" fontId="13" fillId="0" borderId="9" xfId="2" applyFont="1" applyBorder="1"/>
    <xf numFmtId="165" fontId="13" fillId="0" borderId="10" xfId="1" applyNumberFormat="1" applyFont="1" applyBorder="1" applyAlignment="1">
      <alignment horizontal="center" wrapText="1"/>
    </xf>
    <xf numFmtId="44" fontId="13" fillId="0" borderId="8" xfId="2" applyFont="1" applyBorder="1"/>
    <xf numFmtId="10" fontId="13" fillId="0" borderId="10" xfId="3" applyNumberFormat="1" applyFont="1" applyBorder="1"/>
    <xf numFmtId="165" fontId="13" fillId="0" borderId="0" xfId="0" applyNumberFormat="1" applyFont="1"/>
    <xf numFmtId="17" fontId="13" fillId="0" borderId="11"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11" xfId="2" applyFont="1" applyBorder="1" applyAlignment="1">
      <alignment horizontal="right"/>
    </xf>
    <xf numFmtId="44" fontId="13" fillId="0" borderId="0" xfId="2" applyFont="1" applyAlignment="1">
      <alignment horizontal="right"/>
    </xf>
    <xf numFmtId="165" fontId="13" fillId="0" borderId="0" xfId="1" applyNumberFormat="1" applyFont="1"/>
    <xf numFmtId="17" fontId="13" fillId="0" borderId="5" xfId="0" applyNumberFormat="1" applyFont="1" applyBorder="1" applyAlignment="1">
      <alignment horizontal="right"/>
    </xf>
    <xf numFmtId="165" fontId="13" fillId="0" borderId="6" xfId="1" applyNumberFormat="1" applyFont="1" applyBorder="1" applyAlignment="1">
      <alignment horizontal="right"/>
    </xf>
    <xf numFmtId="165" fontId="13" fillId="0" borderId="7" xfId="1" applyNumberFormat="1" applyFont="1" applyBorder="1" applyAlignment="1">
      <alignment horizontal="right"/>
    </xf>
    <xf numFmtId="44" fontId="13" fillId="0" borderId="14" xfId="2" applyFont="1" applyBorder="1" applyAlignment="1">
      <alignment horizontal="right"/>
    </xf>
    <xf numFmtId="44" fontId="13" fillId="0" borderId="5" xfId="2" applyFont="1" applyBorder="1" applyAlignment="1">
      <alignment horizontal="right"/>
    </xf>
    <xf numFmtId="44" fontId="13" fillId="0" borderId="6" xfId="2" applyFont="1" applyBorder="1" applyAlignment="1">
      <alignment horizontal="center"/>
    </xf>
    <xf numFmtId="44" fontId="13" fillId="0" borderId="6" xfId="2" applyFont="1" applyBorder="1"/>
    <xf numFmtId="165" fontId="13" fillId="0" borderId="7" xfId="1" applyNumberFormat="1" applyFont="1" applyBorder="1" applyAlignment="1">
      <alignment horizontal="center" wrapText="1"/>
    </xf>
    <xf numFmtId="44" fontId="13" fillId="0" borderId="5" xfId="2" applyFont="1" applyBorder="1"/>
    <xf numFmtId="10" fontId="13" fillId="0" borderId="7" xfId="3" applyNumberFormat="1" applyFont="1" applyBorder="1" applyAlignment="1">
      <alignment horizontal="center"/>
    </xf>
    <xf numFmtId="0" fontId="14" fillId="0" borderId="0" xfId="0" applyFont="1"/>
    <xf numFmtId="0" fontId="14" fillId="0" borderId="1" xfId="0" applyFont="1" applyBorder="1" applyAlignment="1">
      <alignment horizontal="right"/>
    </xf>
    <xf numFmtId="165" fontId="14" fillId="0" borderId="2" xfId="1" applyNumberFormat="1" applyFont="1" applyBorder="1" applyAlignment="1">
      <alignment horizontal="right"/>
    </xf>
    <xf numFmtId="44" fontId="14" fillId="0" borderId="1" xfId="2" applyFont="1" applyBorder="1"/>
    <xf numFmtId="44" fontId="14" fillId="0" borderId="2" xfId="2" applyFont="1" applyBorder="1"/>
    <xf numFmtId="44" fontId="14" fillId="0" borderId="2" xfId="2" applyFont="1" applyBorder="1" applyAlignment="1">
      <alignment horizontal="right"/>
    </xf>
    <xf numFmtId="165" fontId="14" fillId="0" borderId="4" xfId="1" applyNumberFormat="1" applyFont="1" applyBorder="1" applyAlignment="1">
      <alignment horizontal="center" wrapText="1"/>
    </xf>
    <xf numFmtId="0" fontId="13" fillId="0" borderId="0" xfId="0" applyFont="1" applyAlignment="1">
      <alignment horizontal="center"/>
    </xf>
    <xf numFmtId="0" fontId="13" fillId="0" borderId="0" xfId="0" applyFont="1" applyAlignment="1">
      <alignment horizontal="center" wrapText="1"/>
    </xf>
    <xf numFmtId="0" fontId="14" fillId="0" borderId="0" xfId="0" applyFont="1" applyAlignment="1">
      <alignment horizontal="center"/>
    </xf>
    <xf numFmtId="0" fontId="13" fillId="0" borderId="15" xfId="0" applyFont="1" applyBorder="1"/>
    <xf numFmtId="0" fontId="13" fillId="0" borderId="18" xfId="0" applyFont="1" applyBorder="1" applyAlignment="1">
      <alignment horizontal="center"/>
    </xf>
    <xf numFmtId="0" fontId="13" fillId="0" borderId="18" xfId="0" applyFont="1" applyBorder="1" applyAlignment="1">
      <alignment horizontal="right"/>
    </xf>
    <xf numFmtId="167" fontId="13" fillId="0" borderId="18" xfId="0" applyNumberFormat="1" applyFont="1" applyBorder="1" applyAlignment="1">
      <alignment horizontal="center"/>
    </xf>
    <xf numFmtId="167" fontId="13" fillId="0" borderId="0" xfId="0" applyNumberFormat="1" applyFont="1" applyAlignment="1">
      <alignment horizontal="center"/>
    </xf>
    <xf numFmtId="165" fontId="13" fillId="0" borderId="18" xfId="1" applyNumberFormat="1" applyFont="1" applyBorder="1" applyAlignment="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4" fillId="0" borderId="4" xfId="0" applyNumberFormat="1" applyFont="1" applyBorder="1" applyAlignment="1">
      <alignment horizontal="right"/>
    </xf>
    <xf numFmtId="167" fontId="13" fillId="0" borderId="13" xfId="2" applyNumberFormat="1" applyFont="1" applyBorder="1" applyAlignment="1">
      <alignment horizontal="right"/>
    </xf>
    <xf numFmtId="0" fontId="14" fillId="0" borderId="16" xfId="0" applyFont="1" applyBorder="1"/>
    <xf numFmtId="0" fontId="14" fillId="0" borderId="17" xfId="0" applyFont="1" applyBorder="1"/>
    <xf numFmtId="44" fontId="17" fillId="0" borderId="18" xfId="2" applyFont="1" applyBorder="1"/>
    <xf numFmtId="43" fontId="17" fillId="0" borderId="18" xfId="1" applyFont="1" applyBorder="1"/>
    <xf numFmtId="10" fontId="13" fillId="0" borderId="12" xfId="3" applyNumberFormat="1" applyFont="1" applyBorder="1" applyAlignment="1">
      <alignment horizontal="right"/>
    </xf>
    <xf numFmtId="44" fontId="13" fillId="0" borderId="18" xfId="2" applyFont="1" applyBorder="1"/>
    <xf numFmtId="43" fontId="13" fillId="0" borderId="18" xfId="1" applyFont="1" applyBorder="1"/>
    <xf numFmtId="10" fontId="13" fillId="0" borderId="18" xfId="0" applyNumberFormat="1" applyFont="1" applyBorder="1"/>
    <xf numFmtId="0" fontId="17" fillId="0" borderId="15" xfId="0" applyFont="1" applyBorder="1" applyAlignment="1">
      <alignment horizontal="right"/>
    </xf>
    <xf numFmtId="0" fontId="17" fillId="0" borderId="16" xfId="0" applyFont="1" applyBorder="1" applyAlignment="1">
      <alignment horizontal="right"/>
    </xf>
    <xf numFmtId="0" fontId="17" fillId="0" borderId="17" xfId="0" applyFont="1" applyBorder="1" applyAlignment="1">
      <alignment horizontal="right"/>
    </xf>
    <xf numFmtId="3" fontId="13" fillId="0" borderId="12" xfId="0" applyNumberFormat="1" applyFont="1" applyBorder="1" applyAlignment="1">
      <alignment horizontal="left" wrapText="1"/>
    </xf>
    <xf numFmtId="3" fontId="13" fillId="0" borderId="0" xfId="0" applyNumberFormat="1" applyFont="1" applyAlignment="1">
      <alignment horizontal="left" wrapText="1"/>
    </xf>
    <xf numFmtId="0" fontId="13" fillId="0" borderId="12" xfId="0" applyFont="1" applyBorder="1"/>
    <xf numFmtId="10" fontId="17" fillId="0" borderId="18" xfId="2" applyNumberFormat="1" applyFont="1" applyBorder="1"/>
    <xf numFmtId="44" fontId="17" fillId="0" borderId="20" xfId="2" applyFont="1" applyBorder="1"/>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0" xfId="0" applyFont="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6" fillId="0" borderId="20" xfId="0" applyFont="1" applyBorder="1" applyAlignment="1">
      <alignment horizontal="right"/>
    </xf>
    <xf numFmtId="0" fontId="16" fillId="0" borderId="15" xfId="0" applyFont="1" applyBorder="1" applyAlignment="1">
      <alignment horizontal="center"/>
    </xf>
    <xf numFmtId="0" fontId="17" fillId="0" borderId="16" xfId="0" applyFont="1" applyBorder="1" applyAlignment="1">
      <alignment horizontal="center"/>
    </xf>
    <xf numFmtId="0" fontId="17" fillId="0" borderId="17" xfId="0" applyFont="1" applyBorder="1" applyAlignment="1">
      <alignment horizontal="center"/>
    </xf>
    <xf numFmtId="0" fontId="17" fillId="0" borderId="15" xfId="0" applyFont="1" applyBorder="1" applyAlignment="1">
      <alignment horizontal="right"/>
    </xf>
    <xf numFmtId="0" fontId="17" fillId="0" borderId="16" xfId="0" applyFont="1" applyBorder="1" applyAlignment="1">
      <alignment horizontal="right"/>
    </xf>
    <xf numFmtId="0" fontId="17" fillId="0" borderId="17" xfId="0" applyFont="1" applyBorder="1" applyAlignment="1">
      <alignment horizontal="right"/>
    </xf>
    <xf numFmtId="3" fontId="13" fillId="0" borderId="27" xfId="0" applyNumberFormat="1" applyFont="1" applyBorder="1" applyAlignment="1">
      <alignment horizontal="left"/>
    </xf>
    <xf numFmtId="3" fontId="13" fillId="0" borderId="25" xfId="0" applyNumberFormat="1" applyFont="1" applyBorder="1" applyAlignment="1">
      <alignment horizontal="left"/>
    </xf>
    <xf numFmtId="3" fontId="13" fillId="0" borderId="28" xfId="0" applyNumberFormat="1" applyFont="1" applyBorder="1" applyAlignment="1">
      <alignment horizontal="left"/>
    </xf>
    <xf numFmtId="3" fontId="13" fillId="0" borderId="11" xfId="0" applyNumberFormat="1" applyFont="1" applyBorder="1" applyAlignment="1">
      <alignment horizontal="left" wrapText="1"/>
    </xf>
    <xf numFmtId="3" fontId="13" fillId="0" borderId="0" xfId="0" applyNumberFormat="1" applyFont="1" applyAlignment="1">
      <alignment horizontal="left" wrapText="1"/>
    </xf>
    <xf numFmtId="3" fontId="13" fillId="0" borderId="12" xfId="0" applyNumberFormat="1" applyFont="1" applyBorder="1" applyAlignment="1">
      <alignment horizontal="left" wrapText="1"/>
    </xf>
    <xf numFmtId="0" fontId="13" fillId="0" borderId="15" xfId="0" applyFont="1" applyBorder="1" applyAlignment="1">
      <alignment horizontal="right"/>
    </xf>
    <xf numFmtId="0" fontId="13" fillId="0" borderId="16" xfId="0" applyFont="1" applyBorder="1" applyAlignment="1">
      <alignment horizontal="right"/>
    </xf>
    <xf numFmtId="0" fontId="13" fillId="0" borderId="17" xfId="0" applyFont="1" applyBorder="1" applyAlignment="1">
      <alignment horizontal="right"/>
    </xf>
    <xf numFmtId="0" fontId="14" fillId="0" borderId="3" xfId="0" applyFont="1" applyBorder="1" applyAlignment="1">
      <alignment horizontal="center"/>
    </xf>
    <xf numFmtId="3" fontId="13" fillId="0" borderId="8" xfId="0" applyNumberFormat="1" applyFont="1" applyBorder="1" applyAlignment="1">
      <alignment horizontal="left" wrapText="1"/>
    </xf>
    <xf numFmtId="3" fontId="13" fillId="0" borderId="9" xfId="0" applyNumberFormat="1" applyFont="1" applyBorder="1" applyAlignment="1">
      <alignment horizontal="left" wrapText="1"/>
    </xf>
    <xf numFmtId="3" fontId="13" fillId="0" borderId="10" xfId="0" applyNumberFormat="1" applyFont="1" applyBorder="1" applyAlignment="1">
      <alignment horizontal="left" wrapText="1"/>
    </xf>
    <xf numFmtId="167" fontId="13" fillId="0" borderId="16" xfId="0" applyNumberFormat="1" applyFont="1" applyBorder="1" applyAlignment="1">
      <alignment horizontal="center"/>
    </xf>
    <xf numFmtId="167" fontId="13" fillId="0" borderId="17" xfId="0" applyNumberFormat="1" applyFont="1" applyBorder="1" applyAlignment="1">
      <alignment horizontal="center"/>
    </xf>
    <xf numFmtId="0" fontId="14" fillId="0" borderId="15" xfId="0" applyFont="1" applyBorder="1" applyAlignment="1">
      <alignment horizontal="center"/>
    </xf>
    <xf numFmtId="0" fontId="13" fillId="0" borderId="16" xfId="0" applyFont="1" applyBorder="1" applyAlignment="1">
      <alignment horizontal="center"/>
    </xf>
    <xf numFmtId="0" fontId="13" fillId="0" borderId="17" xfId="0" applyFont="1" applyBorder="1" applyAlignment="1">
      <alignment horizontal="center"/>
    </xf>
    <xf numFmtId="0" fontId="3" fillId="0" borderId="0" xfId="0" applyFont="1" applyAlignment="1">
      <alignment horizontal="right"/>
    </xf>
    <xf numFmtId="0" fontId="1" fillId="0" borderId="0" xfId="0" applyFont="1" applyAlignment="1">
      <alignment horizontal="left"/>
    </xf>
    <xf numFmtId="2" fontId="14" fillId="0" borderId="1" xfId="0" applyNumberFormat="1" applyFont="1" applyBorder="1" applyAlignment="1">
      <alignment horizontal="center" vertical="center"/>
    </xf>
    <xf numFmtId="2" fontId="14" fillId="0" borderId="2"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4" fillId="0" borderId="16"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190500</xdr:colOff>
      <xdr:row>3</xdr:row>
      <xdr:rowOff>111125</xdr:rowOff>
    </xdr:to>
    <xdr:pic>
      <xdr:nvPicPr>
        <xdr:cNvPr id="3137" name="Picture 1">
          <a:extLst>
            <a:ext uri="{FF2B5EF4-FFF2-40B4-BE49-F238E27FC236}">
              <a16:creationId xmlns:a16="http://schemas.microsoft.com/office/drawing/2014/main" id="{00000000-0008-0000-0000-000041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1"/>
  <sheetViews>
    <sheetView tabSelected="1" workbookViewId="0">
      <selection activeCell="O17" sqref="O17"/>
    </sheetView>
  </sheetViews>
  <sheetFormatPr defaultColWidth="9.140625" defaultRowHeight="10.15" customHeight="1" x14ac:dyDescent="0.2"/>
  <cols>
    <col min="1" max="1" width="5" style="16" customWidth="1"/>
    <col min="2" max="2" width="14.7109375" style="16" customWidth="1"/>
    <col min="3" max="3" width="6.140625" style="16" customWidth="1"/>
    <col min="4" max="4" width="6.85546875" style="16" bestFit="1" customWidth="1"/>
    <col min="5" max="5" width="13" style="16" customWidth="1"/>
    <col min="6" max="6" width="5.85546875" style="16" customWidth="1"/>
    <col min="7" max="7" width="13.7109375" style="16" bestFit="1" customWidth="1"/>
    <col min="8" max="8" width="16.42578125" style="16" customWidth="1"/>
    <col min="9" max="9" width="15.7109375" style="16" customWidth="1"/>
    <col min="10" max="10" width="15.7109375" style="18" customWidth="1"/>
    <col min="11" max="11" width="15.7109375" style="16" customWidth="1"/>
    <col min="12" max="12" width="10" style="19" bestFit="1" customWidth="1"/>
    <col min="13" max="14" width="15.7109375" style="16" customWidth="1"/>
    <col min="15" max="16384" width="9.140625" style="16"/>
  </cols>
  <sheetData>
    <row r="1" spans="2:26" s="1" customFormat="1" ht="20.25" customHeight="1" x14ac:dyDescent="0.25">
      <c r="B1" s="138" t="s">
        <v>34</v>
      </c>
      <c r="C1" s="138"/>
      <c r="D1" s="138"/>
      <c r="E1" s="138"/>
      <c r="F1" s="138"/>
      <c r="G1" s="138"/>
      <c r="H1" s="138"/>
      <c r="I1" s="138"/>
      <c r="J1" s="138"/>
      <c r="K1" s="138"/>
      <c r="L1" s="138"/>
      <c r="M1" s="138"/>
      <c r="N1" s="138"/>
    </row>
    <row r="2" spans="2:26" s="1" customFormat="1" ht="20.25" customHeight="1" x14ac:dyDescent="0.25">
      <c r="B2" s="139" t="s">
        <v>33</v>
      </c>
      <c r="C2" s="139"/>
      <c r="D2" s="139"/>
      <c r="E2" s="139"/>
      <c r="F2" s="139"/>
      <c r="G2" s="139"/>
      <c r="H2" s="139"/>
      <c r="I2" s="139"/>
      <c r="J2" s="139"/>
      <c r="K2" s="139"/>
      <c r="L2" s="139"/>
      <c r="M2" s="139"/>
      <c r="N2" s="139"/>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0" t="s">
        <v>2</v>
      </c>
      <c r="C5" s="130"/>
      <c r="D5" s="131" t="s">
        <v>35</v>
      </c>
      <c r="E5" s="131"/>
      <c r="F5" s="131"/>
      <c r="G5" s="131"/>
      <c r="H5" s="14"/>
      <c r="I5" s="15"/>
      <c r="J5" s="15"/>
      <c r="K5" s="130" t="s">
        <v>3</v>
      </c>
      <c r="L5" s="130"/>
      <c r="M5" s="131" t="s">
        <v>38</v>
      </c>
      <c r="N5" s="131"/>
    </row>
    <row r="6" spans="2:26" s="1" customFormat="1" ht="20.25" customHeight="1" x14ac:dyDescent="0.25">
      <c r="B6" s="130" t="s">
        <v>4</v>
      </c>
      <c r="C6" s="130"/>
      <c r="D6" s="131" t="s">
        <v>36</v>
      </c>
      <c r="E6" s="131"/>
      <c r="F6" s="131"/>
      <c r="G6" s="131"/>
      <c r="H6" s="14"/>
      <c r="I6" s="11"/>
      <c r="J6" s="11"/>
      <c r="K6" s="130" t="s">
        <v>5</v>
      </c>
      <c r="L6" s="130"/>
      <c r="M6" s="131" t="s">
        <v>37</v>
      </c>
      <c r="N6" s="131"/>
    </row>
    <row r="7" spans="2:26" ht="21" customHeight="1" thickBot="1" x14ac:dyDescent="0.25">
      <c r="C7" s="17"/>
      <c r="D7" s="17"/>
      <c r="E7" s="17"/>
    </row>
    <row r="8" spans="2:26" s="21" customFormat="1" ht="16.5" thickBot="1" x14ac:dyDescent="0.3">
      <c r="B8" s="132" t="s">
        <v>6</v>
      </c>
      <c r="C8" s="133"/>
      <c r="D8" s="133"/>
      <c r="E8" s="133"/>
      <c r="F8" s="133"/>
      <c r="G8" s="133"/>
      <c r="H8" s="22" t="s">
        <v>7</v>
      </c>
      <c r="I8" s="134" t="s">
        <v>8</v>
      </c>
      <c r="J8" s="135"/>
      <c r="K8" s="135"/>
      <c r="L8" s="136"/>
      <c r="M8" s="134" t="s">
        <v>9</v>
      </c>
      <c r="N8" s="136"/>
    </row>
    <row r="9" spans="2:26" s="21" customFormat="1" ht="32.25" thickBot="1" x14ac:dyDescent="0.3">
      <c r="B9" s="23" t="s">
        <v>10</v>
      </c>
      <c r="C9" s="24" t="s">
        <v>11</v>
      </c>
      <c r="D9" s="25" t="s">
        <v>40</v>
      </c>
      <c r="E9" s="24"/>
      <c r="F9" s="24" t="s">
        <v>12</v>
      </c>
      <c r="G9" s="24" t="s">
        <v>13</v>
      </c>
      <c r="H9" s="26" t="s">
        <v>43</v>
      </c>
      <c r="I9" s="27" t="s">
        <v>14</v>
      </c>
      <c r="J9" s="27" t="s">
        <v>15</v>
      </c>
      <c r="K9" s="27" t="s">
        <v>16</v>
      </c>
      <c r="L9" s="28" t="s">
        <v>17</v>
      </c>
      <c r="M9" s="29" t="s">
        <v>41</v>
      </c>
      <c r="N9" s="30" t="s">
        <v>42</v>
      </c>
    </row>
    <row r="10" spans="2:26" s="21" customFormat="1" ht="15.75" customHeight="1" x14ac:dyDescent="0.2">
      <c r="B10" s="31"/>
      <c r="C10" s="32"/>
      <c r="D10" s="32"/>
      <c r="E10" s="32"/>
      <c r="F10" s="32"/>
      <c r="G10" s="33"/>
      <c r="H10" s="34"/>
      <c r="I10" s="35"/>
      <c r="J10" s="36"/>
      <c r="K10" s="37"/>
      <c r="L10" s="38"/>
      <c r="M10" s="39"/>
      <c r="N10" s="40"/>
      <c r="R10" s="41"/>
    </row>
    <row r="11" spans="2:26" s="21" customFormat="1" ht="15.75" customHeight="1" x14ac:dyDescent="0.2">
      <c r="B11" s="42">
        <v>46023</v>
      </c>
      <c r="C11" s="43">
        <v>5</v>
      </c>
      <c r="D11" s="43">
        <v>1</v>
      </c>
      <c r="E11" s="43"/>
      <c r="F11" s="43">
        <v>3</v>
      </c>
      <c r="G11" s="44">
        <f>SUM(C11:F11)</f>
        <v>9</v>
      </c>
      <c r="H11" s="79" t="s">
        <v>52</v>
      </c>
      <c r="I11" s="45">
        <f>(C11*$C$28)+(D11*$C$29)+(E11*$C$30)+(F11*$C$31)</f>
        <v>561</v>
      </c>
      <c r="J11" s="46">
        <v>0</v>
      </c>
      <c r="K11" s="46">
        <v>0</v>
      </c>
      <c r="L11" s="44">
        <v>0</v>
      </c>
      <c r="M11" s="45">
        <f t="shared" ref="M11:M22" si="0">I11-K11</f>
        <v>561</v>
      </c>
      <c r="N11" s="84">
        <f>K11/I11</f>
        <v>0</v>
      </c>
      <c r="Q11" s="41"/>
      <c r="R11" s="41"/>
    </row>
    <row r="12" spans="2:26" s="21" customFormat="1" ht="15.75" customHeight="1" x14ac:dyDescent="0.2">
      <c r="B12" s="42">
        <v>46054</v>
      </c>
      <c r="C12" s="43">
        <v>5</v>
      </c>
      <c r="D12" s="43">
        <v>1</v>
      </c>
      <c r="E12" s="43"/>
      <c r="F12" s="43">
        <v>3</v>
      </c>
      <c r="G12" s="44">
        <f t="shared" ref="G12:G22" si="1">SUM(C12:F12)</f>
        <v>9</v>
      </c>
      <c r="H12" s="79" t="s">
        <v>52</v>
      </c>
      <c r="I12" s="45">
        <f>(C12*$C$28)+(D12*$C$29)+(E12*$C$30)+(F12*$C$31)</f>
        <v>561</v>
      </c>
      <c r="J12" s="46">
        <v>0</v>
      </c>
      <c r="K12" s="46">
        <v>0</v>
      </c>
      <c r="L12" s="44">
        <v>0</v>
      </c>
      <c r="M12" s="45">
        <f t="shared" si="0"/>
        <v>561</v>
      </c>
      <c r="N12" s="84">
        <f>K12/I12</f>
        <v>0</v>
      </c>
      <c r="Q12" s="47"/>
      <c r="R12" s="41"/>
    </row>
    <row r="13" spans="2:26" s="21" customFormat="1" ht="15.75" customHeight="1" x14ac:dyDescent="0.2">
      <c r="B13" s="42">
        <v>46082</v>
      </c>
      <c r="C13" s="43">
        <v>5</v>
      </c>
      <c r="D13" s="43">
        <v>1</v>
      </c>
      <c r="E13" s="43"/>
      <c r="F13" s="43">
        <v>3</v>
      </c>
      <c r="G13" s="44">
        <f t="shared" si="1"/>
        <v>9</v>
      </c>
      <c r="H13" s="79" t="s">
        <v>52</v>
      </c>
      <c r="I13" s="45">
        <f t="shared" ref="I13:I22" si="2">(C13*$C$28)+(D13*$C$29)+(E13*$C$30)+(F13*$C$31)</f>
        <v>561</v>
      </c>
      <c r="J13" s="46">
        <v>1554</v>
      </c>
      <c r="K13" s="46">
        <v>387.9</v>
      </c>
      <c r="L13" s="44">
        <v>6</v>
      </c>
      <c r="M13" s="45">
        <f t="shared" si="0"/>
        <v>173.10000000000002</v>
      </c>
      <c r="N13" s="84">
        <f>K13/I13</f>
        <v>0.69144385026737964</v>
      </c>
      <c r="Q13" s="47"/>
      <c r="R13" s="41"/>
    </row>
    <row r="14" spans="2:26" s="21" customFormat="1" ht="15.75" customHeight="1" x14ac:dyDescent="0.2">
      <c r="B14" s="42">
        <v>46113</v>
      </c>
      <c r="C14" s="43">
        <v>5</v>
      </c>
      <c r="D14" s="43">
        <v>1</v>
      </c>
      <c r="E14" s="43"/>
      <c r="F14" s="43">
        <v>3</v>
      </c>
      <c r="G14" s="44">
        <f t="shared" si="1"/>
        <v>9</v>
      </c>
      <c r="H14" s="79" t="s">
        <v>52</v>
      </c>
      <c r="I14" s="45">
        <f t="shared" si="2"/>
        <v>561</v>
      </c>
      <c r="J14" s="46">
        <v>0</v>
      </c>
      <c r="K14" s="46">
        <v>0</v>
      </c>
      <c r="L14" s="44">
        <v>0</v>
      </c>
      <c r="M14" s="45">
        <f t="shared" si="0"/>
        <v>561</v>
      </c>
      <c r="N14" s="84">
        <f>K14/I14</f>
        <v>0</v>
      </c>
      <c r="Q14" s="47"/>
      <c r="R14" s="41"/>
    </row>
    <row r="15" spans="2:26" s="21" customFormat="1" ht="15.75" customHeight="1" x14ac:dyDescent="0.2">
      <c r="B15" s="42">
        <v>46143</v>
      </c>
      <c r="C15" s="43">
        <v>5</v>
      </c>
      <c r="D15" s="43">
        <v>1</v>
      </c>
      <c r="E15" s="43"/>
      <c r="F15" s="43">
        <v>3</v>
      </c>
      <c r="G15" s="44">
        <f t="shared" si="1"/>
        <v>9</v>
      </c>
      <c r="H15" s="79" t="s">
        <v>52</v>
      </c>
      <c r="I15" s="45">
        <f t="shared" si="2"/>
        <v>561</v>
      </c>
      <c r="J15" s="46">
        <v>543</v>
      </c>
      <c r="K15" s="46">
        <v>0</v>
      </c>
      <c r="L15" s="44">
        <v>1</v>
      </c>
      <c r="M15" s="45">
        <f t="shared" si="0"/>
        <v>561</v>
      </c>
      <c r="N15" s="84">
        <f>K15/I15</f>
        <v>0</v>
      </c>
      <c r="Q15" s="47"/>
      <c r="R15" s="41"/>
    </row>
    <row r="16" spans="2:26" s="21" customFormat="1" ht="15.75" customHeight="1" x14ac:dyDescent="0.2">
      <c r="B16" s="42">
        <v>46174</v>
      </c>
      <c r="C16" s="43">
        <v>4</v>
      </c>
      <c r="D16" s="43">
        <v>1</v>
      </c>
      <c r="E16" s="43"/>
      <c r="F16" s="43">
        <v>3</v>
      </c>
      <c r="G16" s="44">
        <f t="shared" si="1"/>
        <v>8</v>
      </c>
      <c r="H16" s="79" t="s">
        <v>52</v>
      </c>
      <c r="I16" s="45">
        <f t="shared" si="2"/>
        <v>525.04999999999995</v>
      </c>
      <c r="J16" s="46">
        <v>3791.39</v>
      </c>
      <c r="K16" s="46">
        <v>1575.76</v>
      </c>
      <c r="L16" s="44">
        <v>11</v>
      </c>
      <c r="M16" s="45">
        <f t="shared" si="0"/>
        <v>-1050.71</v>
      </c>
      <c r="N16" s="84">
        <f>K16/I16</f>
        <v>3.0011617941148465</v>
      </c>
      <c r="Q16" s="47"/>
      <c r="R16" s="41"/>
    </row>
    <row r="17" spans="2:18" s="21" customFormat="1" ht="15.75" customHeight="1" x14ac:dyDescent="0.2">
      <c r="B17" s="42">
        <v>46204</v>
      </c>
      <c r="C17" s="43"/>
      <c r="D17" s="43"/>
      <c r="E17" s="43"/>
      <c r="F17" s="43"/>
      <c r="G17" s="44">
        <f t="shared" si="1"/>
        <v>0</v>
      </c>
      <c r="H17" s="79" t="s">
        <v>52</v>
      </c>
      <c r="I17" s="45">
        <f t="shared" si="2"/>
        <v>0</v>
      </c>
      <c r="J17" s="46"/>
      <c r="K17" s="46"/>
      <c r="L17" s="44"/>
      <c r="M17" s="45">
        <f t="shared" si="0"/>
        <v>0</v>
      </c>
      <c r="N17" s="84"/>
      <c r="Q17" s="47"/>
      <c r="R17" s="41"/>
    </row>
    <row r="18" spans="2:18" s="21" customFormat="1" ht="15.75" customHeight="1" x14ac:dyDescent="0.2">
      <c r="B18" s="42">
        <v>46235</v>
      </c>
      <c r="C18" s="43"/>
      <c r="D18" s="43"/>
      <c r="E18" s="43"/>
      <c r="F18" s="43"/>
      <c r="G18" s="44">
        <f t="shared" si="1"/>
        <v>0</v>
      </c>
      <c r="H18" s="79" t="s">
        <v>52</v>
      </c>
      <c r="I18" s="45">
        <f t="shared" si="2"/>
        <v>0</v>
      </c>
      <c r="J18" s="46"/>
      <c r="K18" s="46"/>
      <c r="L18" s="44"/>
      <c r="M18" s="45">
        <f t="shared" si="0"/>
        <v>0</v>
      </c>
      <c r="N18" s="84"/>
      <c r="Q18" s="47"/>
      <c r="R18" s="41"/>
    </row>
    <row r="19" spans="2:18" s="21" customFormat="1" ht="15.75" customHeight="1" x14ac:dyDescent="0.2">
      <c r="B19" s="42">
        <v>46266</v>
      </c>
      <c r="C19" s="43"/>
      <c r="D19" s="43"/>
      <c r="E19" s="43"/>
      <c r="F19" s="43"/>
      <c r="G19" s="44">
        <f t="shared" si="1"/>
        <v>0</v>
      </c>
      <c r="H19" s="79" t="s">
        <v>52</v>
      </c>
      <c r="I19" s="45">
        <f t="shared" si="2"/>
        <v>0</v>
      </c>
      <c r="J19" s="46"/>
      <c r="K19" s="46"/>
      <c r="L19" s="44"/>
      <c r="M19" s="45">
        <f t="shared" si="0"/>
        <v>0</v>
      </c>
      <c r="N19" s="84"/>
      <c r="Q19" s="47"/>
      <c r="R19" s="41"/>
    </row>
    <row r="20" spans="2:18" s="21" customFormat="1" ht="15.75" customHeight="1" x14ac:dyDescent="0.2">
      <c r="B20" s="42">
        <v>46296</v>
      </c>
      <c r="C20" s="43"/>
      <c r="D20" s="43"/>
      <c r="E20" s="43"/>
      <c r="F20" s="43"/>
      <c r="G20" s="44">
        <f t="shared" si="1"/>
        <v>0</v>
      </c>
      <c r="H20" s="79" t="s">
        <v>52</v>
      </c>
      <c r="I20" s="45">
        <f t="shared" si="2"/>
        <v>0</v>
      </c>
      <c r="J20" s="46"/>
      <c r="K20" s="46"/>
      <c r="L20" s="44"/>
      <c r="M20" s="45">
        <f t="shared" si="0"/>
        <v>0</v>
      </c>
      <c r="N20" s="84"/>
      <c r="Q20" s="47"/>
      <c r="R20" s="41"/>
    </row>
    <row r="21" spans="2:18" s="21" customFormat="1" ht="15.75" customHeight="1" x14ac:dyDescent="0.2">
      <c r="B21" s="42">
        <v>46327</v>
      </c>
      <c r="C21" s="43"/>
      <c r="D21" s="43"/>
      <c r="E21" s="43"/>
      <c r="F21" s="43"/>
      <c r="G21" s="44">
        <f t="shared" si="1"/>
        <v>0</v>
      </c>
      <c r="H21" s="79" t="s">
        <v>52</v>
      </c>
      <c r="I21" s="45">
        <f t="shared" si="2"/>
        <v>0</v>
      </c>
      <c r="J21" s="46"/>
      <c r="K21" s="46"/>
      <c r="L21" s="44"/>
      <c r="M21" s="45">
        <f t="shared" si="0"/>
        <v>0</v>
      </c>
      <c r="N21" s="84"/>
      <c r="Q21" s="47"/>
      <c r="R21" s="41"/>
    </row>
    <row r="22" spans="2:18" s="21" customFormat="1" ht="15.75" customHeight="1" x14ac:dyDescent="0.2">
      <c r="B22" s="42">
        <v>46357</v>
      </c>
      <c r="C22" s="43"/>
      <c r="D22" s="43"/>
      <c r="E22" s="43"/>
      <c r="F22" s="43"/>
      <c r="G22" s="44">
        <f t="shared" si="1"/>
        <v>0</v>
      </c>
      <c r="H22" s="79" t="s">
        <v>52</v>
      </c>
      <c r="I22" s="45">
        <f t="shared" si="2"/>
        <v>0</v>
      </c>
      <c r="J22" s="46"/>
      <c r="K22" s="46"/>
      <c r="L22" s="44"/>
      <c r="M22" s="45">
        <f t="shared" si="0"/>
        <v>0</v>
      </c>
      <c r="N22" s="84"/>
      <c r="Q22" s="47"/>
      <c r="R22" s="41"/>
    </row>
    <row r="23" spans="2:18" s="21" customFormat="1" ht="15.75" customHeight="1" thickBot="1" x14ac:dyDescent="0.25">
      <c r="B23" s="48"/>
      <c r="C23" s="49"/>
      <c r="D23" s="49"/>
      <c r="E23" s="49"/>
      <c r="F23" s="49"/>
      <c r="G23" s="50"/>
      <c r="H23" s="51"/>
      <c r="I23" s="52"/>
      <c r="J23" s="53"/>
      <c r="K23" s="54"/>
      <c r="L23" s="55">
        <v>0</v>
      </c>
      <c r="M23" s="56"/>
      <c r="N23" s="57"/>
    </row>
    <row r="24" spans="2:18" s="58" customFormat="1" ht="15.75" customHeight="1" thickBot="1" x14ac:dyDescent="0.3">
      <c r="B24" s="59" t="s">
        <v>18</v>
      </c>
      <c r="C24" s="60">
        <f>AVERAGEIF(C11:C22,"&gt;0")</f>
        <v>4.833333333333333</v>
      </c>
      <c r="D24" s="60">
        <f>AVERAGEIF(D11:D22,"&gt;0")</f>
        <v>1</v>
      </c>
      <c r="E24" s="60"/>
      <c r="F24" s="60">
        <f>AVERAGEIF(F11:F22,"&gt;0")</f>
        <v>3</v>
      </c>
      <c r="G24" s="60">
        <f>AVERAGEIF(G11:G22,"&gt;0")</f>
        <v>8.8333333333333339</v>
      </c>
      <c r="H24" s="61">
        <f>SUM(H10:H22)</f>
        <v>0</v>
      </c>
      <c r="I24" s="61">
        <f>SUM(I10:I22)</f>
        <v>3330.05</v>
      </c>
      <c r="J24" s="62">
        <f>SUM(J10:J22)</f>
        <v>5888.3899999999994</v>
      </c>
      <c r="K24" s="63">
        <f>SUM(K10:K22)</f>
        <v>1963.6599999999999</v>
      </c>
      <c r="L24" s="64">
        <f>SUM(L11:L23)</f>
        <v>18</v>
      </c>
      <c r="M24" s="61">
        <f>SUM(M11:M22)</f>
        <v>1366.3899999999999</v>
      </c>
      <c r="N24" s="78">
        <f>IF(I24&gt;0,K24/I24,"")</f>
        <v>0.58967883365114626</v>
      </c>
    </row>
    <row r="25" spans="2:18" s="21" customFormat="1" ht="15.75" customHeight="1" x14ac:dyDescent="0.2">
      <c r="J25" s="65"/>
      <c r="L25" s="66"/>
    </row>
    <row r="26" spans="2:18" s="21" customFormat="1" ht="15.75" customHeight="1" x14ac:dyDescent="0.25">
      <c r="B26" s="127" t="s">
        <v>19</v>
      </c>
      <c r="C26" s="137"/>
      <c r="D26" s="137"/>
      <c r="E26" s="137"/>
      <c r="F26" s="80"/>
      <c r="G26" s="81"/>
      <c r="H26" s="67"/>
      <c r="J26" s="127" t="s">
        <v>20</v>
      </c>
      <c r="K26" s="128"/>
      <c r="L26" s="128"/>
      <c r="M26" s="128"/>
      <c r="N26" s="129"/>
    </row>
    <row r="27" spans="2:18" s="21" customFormat="1" ht="15.75" customHeight="1" x14ac:dyDescent="0.2">
      <c r="B27" s="68"/>
      <c r="C27" s="128" t="s">
        <v>21</v>
      </c>
      <c r="D27" s="129"/>
      <c r="E27" s="69" t="s">
        <v>13</v>
      </c>
      <c r="F27" s="65"/>
      <c r="J27" s="118" t="s">
        <v>22</v>
      </c>
      <c r="K27" s="119"/>
      <c r="L27" s="119"/>
      <c r="M27" s="120"/>
      <c r="N27" s="85">
        <f>J24/L24</f>
        <v>327.13277777777773</v>
      </c>
    </row>
    <row r="28" spans="2:18" s="21" customFormat="1" ht="15.75" customHeight="1" x14ac:dyDescent="0.2">
      <c r="B28" s="70" t="s">
        <v>23</v>
      </c>
      <c r="C28" s="125">
        <v>35.950000000000003</v>
      </c>
      <c r="D28" s="126"/>
      <c r="E28" s="71">
        <f>C28</f>
        <v>35.950000000000003</v>
      </c>
      <c r="F28" s="72"/>
      <c r="J28" s="118" t="s">
        <v>24</v>
      </c>
      <c r="K28" s="119"/>
      <c r="L28" s="119"/>
      <c r="M28" s="120"/>
      <c r="N28" s="85">
        <f>K24/L24</f>
        <v>109.09222222222222</v>
      </c>
    </row>
    <row r="29" spans="2:18" s="21" customFormat="1" ht="15.75" customHeight="1" x14ac:dyDescent="0.2">
      <c r="B29" s="73" t="str">
        <f>IF(D9="E+1","EE &amp; One","EE &amp; Spouse")</f>
        <v>EE &amp; One</v>
      </c>
      <c r="C29" s="125">
        <v>69.849999999999994</v>
      </c>
      <c r="D29" s="126"/>
      <c r="E29" s="71">
        <f t="shared" ref="E29:E31" si="3">C29</f>
        <v>69.849999999999994</v>
      </c>
      <c r="F29" s="72"/>
      <c r="J29" s="118" t="s">
        <v>25</v>
      </c>
      <c r="K29" s="119"/>
      <c r="L29" s="119"/>
      <c r="M29" s="120"/>
      <c r="N29" s="86">
        <f>((L24/COUNTIF(G11:G22,"&gt;0"))*12)/G24</f>
        <v>4.0754716981132075</v>
      </c>
    </row>
    <row r="30" spans="2:18" s="21" customFormat="1" ht="15.75" customHeight="1" x14ac:dyDescent="0.2">
      <c r="B30" s="70"/>
      <c r="C30" s="125"/>
      <c r="D30" s="126"/>
      <c r="E30" s="71"/>
      <c r="F30" s="72"/>
      <c r="J30" s="118" t="s">
        <v>26</v>
      </c>
      <c r="K30" s="119"/>
      <c r="L30" s="119"/>
      <c r="M30" s="120"/>
      <c r="N30" s="87">
        <f>K24/J24</f>
        <v>0.33347994952779964</v>
      </c>
    </row>
    <row r="31" spans="2:18" s="21" customFormat="1" ht="15.75" customHeight="1" x14ac:dyDescent="0.2">
      <c r="B31" s="70" t="s">
        <v>27</v>
      </c>
      <c r="C31" s="125">
        <v>103.8</v>
      </c>
      <c r="D31" s="126"/>
      <c r="E31" s="71">
        <f t="shared" si="3"/>
        <v>103.8</v>
      </c>
      <c r="F31" s="72"/>
      <c r="J31" s="118" t="s">
        <v>28</v>
      </c>
      <c r="K31" s="119"/>
      <c r="L31" s="119"/>
      <c r="M31" s="120"/>
      <c r="N31" s="85">
        <f>K24/G24/(COUNTIF(G11:G22,"&gt;0"))</f>
        <v>37.050188679245274</v>
      </c>
    </row>
    <row r="32" spans="2:18" s="21" customFormat="1" ht="15.75" customHeight="1" x14ac:dyDescent="0.2">
      <c r="B32" s="70" t="s">
        <v>45</v>
      </c>
      <c r="C32" s="125"/>
      <c r="D32" s="126"/>
      <c r="E32" s="71" t="s">
        <v>53</v>
      </c>
      <c r="F32" s="74"/>
      <c r="G32" s="72"/>
      <c r="H32" s="72"/>
      <c r="J32" s="75"/>
      <c r="K32" s="75"/>
      <c r="L32" s="75"/>
      <c r="M32" s="75"/>
      <c r="N32" s="76"/>
    </row>
    <row r="33" spans="1:14" s="21" customFormat="1" ht="15.75" customHeight="1" thickBot="1" x14ac:dyDescent="0.25">
      <c r="J33" s="65"/>
      <c r="L33" s="66"/>
    </row>
    <row r="34" spans="1:14" s="21" customFormat="1" ht="15.75" customHeight="1" thickBot="1" x14ac:dyDescent="0.3">
      <c r="B34" s="121" t="s">
        <v>29</v>
      </c>
      <c r="C34" s="121"/>
      <c r="D34" s="121"/>
      <c r="E34" s="121"/>
      <c r="F34" s="121"/>
      <c r="G34" s="121"/>
      <c r="H34" s="67"/>
      <c r="J34" s="106" t="s">
        <v>31</v>
      </c>
      <c r="K34" s="107"/>
      <c r="L34" s="107"/>
      <c r="M34" s="107"/>
      <c r="N34" s="108"/>
    </row>
    <row r="35" spans="1:14" s="21" customFormat="1" ht="15.75" customHeight="1" x14ac:dyDescent="0.2">
      <c r="B35" s="122" t="s">
        <v>46</v>
      </c>
      <c r="C35" s="123"/>
      <c r="D35" s="123"/>
      <c r="E35" s="123"/>
      <c r="F35" s="123"/>
      <c r="G35" s="124"/>
      <c r="H35" s="77"/>
      <c r="J35" s="109" t="s">
        <v>22</v>
      </c>
      <c r="K35" s="110"/>
      <c r="L35" s="110"/>
      <c r="M35" s="111"/>
      <c r="N35" s="82">
        <v>323.74</v>
      </c>
    </row>
    <row r="36" spans="1:14" s="21" customFormat="1" ht="15.75" customHeight="1" x14ac:dyDescent="0.2">
      <c r="A36" s="93"/>
      <c r="B36" s="21" t="s">
        <v>48</v>
      </c>
      <c r="G36" s="93" t="s">
        <v>50</v>
      </c>
      <c r="H36" s="77"/>
      <c r="J36" s="88"/>
      <c r="K36" s="89"/>
      <c r="L36" s="89"/>
      <c r="M36" s="90" t="s">
        <v>24</v>
      </c>
      <c r="N36" s="82">
        <v>230.24</v>
      </c>
    </row>
    <row r="37" spans="1:14" s="21" customFormat="1" ht="15.75" customHeight="1" x14ac:dyDescent="0.2">
      <c r="B37" s="115" t="s">
        <v>47</v>
      </c>
      <c r="C37" s="116"/>
      <c r="D37" s="116"/>
      <c r="E37" s="116"/>
      <c r="F37" s="116"/>
      <c r="G37" s="117"/>
      <c r="H37" s="77"/>
      <c r="J37" s="109" t="s">
        <v>51</v>
      </c>
      <c r="K37" s="110"/>
      <c r="L37" s="110"/>
      <c r="M37" s="111"/>
      <c r="N37" s="82">
        <v>3.78</v>
      </c>
    </row>
    <row r="38" spans="1:14" s="21" customFormat="1" ht="15.75" customHeight="1" x14ac:dyDescent="0.2">
      <c r="A38" s="93"/>
      <c r="B38" s="21" t="s">
        <v>49</v>
      </c>
      <c r="D38" s="92"/>
      <c r="E38" s="92"/>
      <c r="F38" s="92"/>
      <c r="G38" s="91"/>
      <c r="H38" s="77"/>
      <c r="J38" s="88"/>
      <c r="K38" s="89"/>
      <c r="L38" s="89"/>
      <c r="M38" s="90" t="s">
        <v>26</v>
      </c>
      <c r="N38" s="94">
        <v>0.71120000000000005</v>
      </c>
    </row>
    <row r="39" spans="1:14" s="21" customFormat="1" ht="15.75" customHeight="1" x14ac:dyDescent="0.2">
      <c r="B39" s="115" t="s">
        <v>39</v>
      </c>
      <c r="C39" s="116"/>
      <c r="D39" s="116"/>
      <c r="E39" s="116"/>
      <c r="F39" s="116"/>
      <c r="G39" s="117"/>
      <c r="H39" s="77"/>
      <c r="J39" s="109" t="s">
        <v>28</v>
      </c>
      <c r="K39" s="110"/>
      <c r="L39" s="110"/>
      <c r="M39" s="111"/>
      <c r="N39" s="83">
        <v>72.58</v>
      </c>
    </row>
    <row r="40" spans="1:14" s="21" customFormat="1" ht="15" x14ac:dyDescent="0.2">
      <c r="B40" s="112" t="s">
        <v>30</v>
      </c>
      <c r="C40" s="113"/>
      <c r="D40" s="113"/>
      <c r="E40" s="113"/>
      <c r="F40" s="113"/>
      <c r="G40" s="114"/>
      <c r="H40" s="77"/>
      <c r="J40" s="109" t="s">
        <v>32</v>
      </c>
      <c r="K40" s="110"/>
      <c r="L40" s="110"/>
      <c r="M40" s="111"/>
      <c r="N40" s="82">
        <v>90.2</v>
      </c>
    </row>
    <row r="41" spans="1:14" s="21" customFormat="1" ht="15.75" x14ac:dyDescent="0.25">
      <c r="J41" s="105"/>
      <c r="K41" s="105"/>
      <c r="L41" s="105"/>
      <c r="M41" s="105"/>
      <c r="N41" s="95"/>
    </row>
    <row r="42" spans="1:14" s="21" customFormat="1" ht="10.15" customHeight="1" x14ac:dyDescent="0.2">
      <c r="J42" s="65"/>
      <c r="L42" s="66"/>
    </row>
    <row r="43" spans="1:14" s="21" customFormat="1" ht="10.15" customHeight="1" x14ac:dyDescent="0.2">
      <c r="B43" s="96" t="s">
        <v>44</v>
      </c>
      <c r="C43" s="97"/>
      <c r="D43" s="97"/>
      <c r="E43" s="97"/>
      <c r="F43" s="97"/>
      <c r="G43" s="97"/>
      <c r="H43" s="97"/>
      <c r="I43" s="97"/>
      <c r="J43" s="97"/>
      <c r="K43" s="97"/>
      <c r="L43" s="97"/>
      <c r="M43" s="97"/>
      <c r="N43" s="98"/>
    </row>
    <row r="44" spans="1:14" s="21" customFormat="1" ht="10.15" customHeight="1" x14ac:dyDescent="0.2">
      <c r="B44" s="99"/>
      <c r="C44" s="100"/>
      <c r="D44" s="100"/>
      <c r="E44" s="100"/>
      <c r="F44" s="100"/>
      <c r="G44" s="100"/>
      <c r="H44" s="100"/>
      <c r="I44" s="100"/>
      <c r="J44" s="100"/>
      <c r="K44" s="100"/>
      <c r="L44" s="100"/>
      <c r="M44" s="100"/>
      <c r="N44" s="101"/>
    </row>
    <row r="45" spans="1:14" s="21" customFormat="1" ht="10.15" customHeight="1" x14ac:dyDescent="0.2">
      <c r="B45" s="99"/>
      <c r="C45" s="100"/>
      <c r="D45" s="100"/>
      <c r="E45" s="100"/>
      <c r="F45" s="100"/>
      <c r="G45" s="100"/>
      <c r="H45" s="100"/>
      <c r="I45" s="100"/>
      <c r="J45" s="100"/>
      <c r="K45" s="100"/>
      <c r="L45" s="100"/>
      <c r="M45" s="100"/>
      <c r="N45" s="101"/>
    </row>
    <row r="46" spans="1:14" s="21" customFormat="1" ht="10.15" customHeight="1" x14ac:dyDescent="0.2">
      <c r="B46" s="99"/>
      <c r="C46" s="100"/>
      <c r="D46" s="100"/>
      <c r="E46" s="100"/>
      <c r="F46" s="100"/>
      <c r="G46" s="100"/>
      <c r="H46" s="100"/>
      <c r="I46" s="100"/>
      <c r="J46" s="100"/>
      <c r="K46" s="100"/>
      <c r="L46" s="100"/>
      <c r="M46" s="100"/>
      <c r="N46" s="101"/>
    </row>
    <row r="47" spans="1:14" s="21" customFormat="1" ht="10.15" customHeight="1" x14ac:dyDescent="0.2">
      <c r="B47" s="99"/>
      <c r="C47" s="100"/>
      <c r="D47" s="100"/>
      <c r="E47" s="100"/>
      <c r="F47" s="100"/>
      <c r="G47" s="100"/>
      <c r="H47" s="100"/>
      <c r="I47" s="100"/>
      <c r="J47" s="100"/>
      <c r="K47" s="100"/>
      <c r="L47" s="100"/>
      <c r="M47" s="100"/>
      <c r="N47" s="101"/>
    </row>
    <row r="48" spans="1:14" s="21" customFormat="1" ht="10.15" customHeight="1" x14ac:dyDescent="0.2">
      <c r="B48" s="99"/>
      <c r="C48" s="100"/>
      <c r="D48" s="100"/>
      <c r="E48" s="100"/>
      <c r="F48" s="100"/>
      <c r="G48" s="100"/>
      <c r="H48" s="100"/>
      <c r="I48" s="100"/>
      <c r="J48" s="100"/>
      <c r="K48" s="100"/>
      <c r="L48" s="100"/>
      <c r="M48" s="100"/>
      <c r="N48" s="101"/>
    </row>
    <row r="49" spans="2:14" s="21" customFormat="1" ht="10.15" customHeight="1" x14ac:dyDescent="0.2">
      <c r="B49" s="102"/>
      <c r="C49" s="103"/>
      <c r="D49" s="103"/>
      <c r="E49" s="103"/>
      <c r="F49" s="103"/>
      <c r="G49" s="103"/>
      <c r="H49" s="103"/>
      <c r="I49" s="103"/>
      <c r="J49" s="103"/>
      <c r="K49" s="103"/>
      <c r="L49" s="103"/>
      <c r="M49" s="103"/>
      <c r="N49" s="104"/>
    </row>
    <row r="50" spans="2:14" s="21" customFormat="1" ht="10.15" customHeight="1" x14ac:dyDescent="0.2">
      <c r="J50" s="65"/>
      <c r="L50" s="66"/>
    </row>
    <row r="51" spans="2:14" s="21" customFormat="1" ht="10.15" customHeight="1" x14ac:dyDescent="0.2">
      <c r="J51" s="65"/>
      <c r="L51" s="66"/>
    </row>
  </sheetData>
  <mergeCells count="38">
    <mergeCell ref="B1:N1"/>
    <mergeCell ref="B2:N2"/>
    <mergeCell ref="B5:C5"/>
    <mergeCell ref="D5:G5"/>
    <mergeCell ref="K5:L5"/>
    <mergeCell ref="M5:N5"/>
    <mergeCell ref="J26:N26"/>
    <mergeCell ref="C27:D27"/>
    <mergeCell ref="J27:M27"/>
    <mergeCell ref="B6:C6"/>
    <mergeCell ref="D6:G6"/>
    <mergeCell ref="K6:L6"/>
    <mergeCell ref="M6:N6"/>
    <mergeCell ref="B8:G8"/>
    <mergeCell ref="I8:L8"/>
    <mergeCell ref="M8:N8"/>
    <mergeCell ref="B26:E26"/>
    <mergeCell ref="J31:M31"/>
    <mergeCell ref="B34:G34"/>
    <mergeCell ref="B35:G35"/>
    <mergeCell ref="C28:D28"/>
    <mergeCell ref="J28:M28"/>
    <mergeCell ref="C29:D29"/>
    <mergeCell ref="J29:M29"/>
    <mergeCell ref="C31:D31"/>
    <mergeCell ref="C30:D30"/>
    <mergeCell ref="C32:D32"/>
    <mergeCell ref="J30:M30"/>
    <mergeCell ref="B43:N49"/>
    <mergeCell ref="J41:M41"/>
    <mergeCell ref="J34:N34"/>
    <mergeCell ref="J35:M35"/>
    <mergeCell ref="J37:M37"/>
    <mergeCell ref="J39:M39"/>
    <mergeCell ref="B40:G40"/>
    <mergeCell ref="J40:M40"/>
    <mergeCell ref="B37:G37"/>
    <mergeCell ref="B39:G39"/>
  </mergeCells>
  <phoneticPr fontId="0" type="noConversion"/>
  <pageMargins left="0.7" right="0.7" top="0.75" bottom="0.75" header="0.3" footer="0.3"/>
  <pageSetup scale="67"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2026-02-02T16:29:19Z</cp:lastPrinted>
  <dcterms:created xsi:type="dcterms:W3CDTF">2010-01-16T14:52:12Z</dcterms:created>
  <dcterms:modified xsi:type="dcterms:W3CDTF">2026-07-01T17:17:33Z</dcterms:modified>
</cp:coreProperties>
</file>