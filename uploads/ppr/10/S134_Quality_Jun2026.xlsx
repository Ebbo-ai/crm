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2E3F12E8-2526-4F39-8C09-E6F1AEA0700B}" xr6:coauthVersionLast="47" xr6:coauthVersionMax="47" xr10:uidLastSave="{00000000-0000-0000-0000-000000000000}"/>
  <bookViews>
    <workbookView xWindow="-105" yWindow="0" windowWidth="26010" windowHeight="20985" xr2:uid="{00000000-000D-0000-FFFF-FFFF00000000}"/>
  </bookViews>
  <sheets>
    <sheet name="Standard" sheetId="3" r:id="rId1"/>
    <sheet name="Plan Acct"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3" l="1"/>
  <c r="N16" i="3"/>
  <c r="N13" i="3"/>
  <c r="N14" i="3"/>
  <c r="N15" i="3"/>
  <c r="N12" i="3"/>
  <c r="M13" i="3"/>
  <c r="M14" i="3"/>
  <c r="M15" i="3"/>
  <c r="M18" i="3"/>
  <c r="M19" i="3"/>
  <c r="M20" i="3"/>
  <c r="M21" i="3"/>
  <c r="M22" i="3"/>
  <c r="M23" i="3"/>
  <c r="M12" i="3"/>
  <c r="H13" i="4"/>
  <c r="F13" i="4"/>
  <c r="E13" i="4"/>
  <c r="D13" i="4"/>
  <c r="E12" i="4"/>
  <c r="D12" i="4"/>
  <c r="F12" i="4" s="1"/>
  <c r="H12" i="4" s="1"/>
  <c r="E11" i="4"/>
  <c r="D11" i="4"/>
  <c r="F11" i="4" s="1"/>
  <c r="H11" i="4" s="1"/>
  <c r="H24" i="4" l="1"/>
  <c r="E25" i="3"/>
  <c r="B12" i="4" l="1"/>
  <c r="B13" i="4"/>
  <c r="B14" i="4"/>
  <c r="B15" i="4"/>
  <c r="B16" i="4"/>
  <c r="B17" i="4"/>
  <c r="B18" i="4"/>
  <c r="B19" i="4"/>
  <c r="B20" i="4"/>
  <c r="B21" i="4"/>
  <c r="B22" i="4"/>
  <c r="B11" i="4"/>
  <c r="I22" i="3" l="1"/>
  <c r="E24" i="4"/>
  <c r="G24" i="4"/>
  <c r="C24" i="4"/>
  <c r="G32" i="3"/>
  <c r="G31" i="3"/>
  <c r="G30" i="3"/>
  <c r="B30" i="3"/>
  <c r="G29" i="3"/>
  <c r="L25" i="3"/>
  <c r="K25" i="3"/>
  <c r="J25" i="3"/>
  <c r="F25" i="3"/>
  <c r="D25" i="3"/>
  <c r="C25" i="3"/>
  <c r="I23" i="3"/>
  <c r="H23" i="3"/>
  <c r="G23" i="3"/>
  <c r="H22" i="3"/>
  <c r="G22" i="3"/>
  <c r="I21" i="3"/>
  <c r="H21" i="3"/>
  <c r="G21" i="3"/>
  <c r="I20" i="3"/>
  <c r="H20" i="3"/>
  <c r="G20" i="3"/>
  <c r="I19" i="3"/>
  <c r="H19" i="3"/>
  <c r="G19" i="3"/>
  <c r="I18" i="3"/>
  <c r="H18" i="3"/>
  <c r="G18" i="3"/>
  <c r="I17" i="3"/>
  <c r="M17" i="3" s="1"/>
  <c r="H17" i="3"/>
  <c r="G17" i="3"/>
  <c r="I16" i="3"/>
  <c r="M16" i="3" s="1"/>
  <c r="H16" i="3"/>
  <c r="G16" i="3"/>
  <c r="I15" i="3"/>
  <c r="H15" i="3"/>
  <c r="G15" i="3"/>
  <c r="I14" i="3"/>
  <c r="H14" i="3"/>
  <c r="G14" i="3"/>
  <c r="I13" i="3"/>
  <c r="G13" i="3"/>
  <c r="H13" i="3"/>
  <c r="I12" i="3"/>
  <c r="H12" i="3"/>
  <c r="G12" i="3"/>
  <c r="N29" i="3" l="1"/>
  <c r="I25" i="3"/>
  <c r="N25" i="3" s="1"/>
  <c r="N28" i="3"/>
  <c r="D24" i="4"/>
  <c r="N31" i="3"/>
  <c r="H25" i="3"/>
  <c r="G25" i="3"/>
  <c r="N32" i="3" s="1"/>
  <c r="F24" i="4" l="1"/>
  <c r="M25" i="3"/>
  <c r="N30" i="3"/>
</calcChain>
</file>

<file path=xl/sharedStrings.xml><?xml version="1.0" encoding="utf-8"?>
<sst xmlns="http://schemas.openxmlformats.org/spreadsheetml/2006/main" count="81" uniqueCount="66">
  <si>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</si>
  <si>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</si>
  <si>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</si>
  <si>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</si>
  <si>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</si>
  <si>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</si>
  <si>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</si>
  <si>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</si>
  <si>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</si>
  <si>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</si>
  <si>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</si>
  <si>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</si>
  <si>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</si>
  <si>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</si>
  <si>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</si>
  <si>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</si>
  <si>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</si>
  <si>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</si>
  <si>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</si>
  <si>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</si>
  <si>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</si>
  <si>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</si>
  <si>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</si>
  <si>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</si>
  <si>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</si>
  <si>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</si>
  <si>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</si>
  <si>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</si>
  <si>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</si>
  <si>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</si>
  <si>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</si>
  <si>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</si>
  <si>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</si>
  <si>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</si>
  <si>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</si>
  <si>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</si>
  <si>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</si>
  <si>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Dental</t>
  </si>
  <si>
    <t xml:space="preserve">EE &amp; Child </t>
  </si>
  <si>
    <t>Prior Year Data</t>
  </si>
  <si>
    <t>Surplus (Deficit)</t>
  </si>
  <si>
    <t>Monthly Performance Report - Budgeted vs Actual Claims Paid</t>
  </si>
  <si>
    <t>Dental Plan Year Accounting</t>
  </si>
  <si>
    <t xml:space="preserve">Plan Year: </t>
  </si>
  <si>
    <t>DEN</t>
  </si>
  <si>
    <t>Month</t>
  </si>
  <si>
    <t>Deposit</t>
  </si>
  <si>
    <t xml:space="preserve">Plan Expenses </t>
  </si>
  <si>
    <t>Account Balance</t>
  </si>
  <si>
    <t>Admin</t>
  </si>
  <si>
    <t>Prior Plan Year Ending  Balance</t>
  </si>
  <si>
    <t>* Pending claims include claims processed and not yet released for reimbursement due to low account balance.</t>
  </si>
  <si>
    <t>* Claims may also be pending if funding was received and posted after the final check run for the month.</t>
  </si>
  <si>
    <t>Quality Plus Services, Inc.</t>
  </si>
  <si>
    <t>S134</t>
  </si>
  <si>
    <t>S134DEN</t>
  </si>
  <si>
    <t>100% of the first $100; $50 Deductible</t>
  </si>
  <si>
    <t>80% of the next $200; 50% of the next $480</t>
  </si>
  <si>
    <t>Orthodontics not included</t>
  </si>
  <si>
    <t>Annual Maximum Amount $500</t>
  </si>
  <si>
    <t>Assignment of Benefits</t>
  </si>
  <si>
    <t>ES</t>
  </si>
  <si>
    <t>Adjustments (credit) and debits</t>
  </si>
  <si>
    <t>Note:</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</si>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</sst>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9"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2"/>
      <name val="Arial"/>
      <family val="2"/>
    </font>
    <font>
      <sz val="12"/>
      <name val="Arial"/>
      <family val="2"/>
    </font>
    <font>
      <u/>
      <sz val="12"/>
      <name val="Arial"/>
      <family val="2"/>
    </font>
    <font>
      <sz val="12"/>
      <color theme="1"/>
      <name val="Calibri"/>
      <family val="2"/>
      <scheme val="minor"/>
    </font>
    <font>
      <sz val="12"/>
      <color theme="0"/>
      <name val="Arial"/>
      <family val="2"/>
    </font>
    <font>
      <b/>
      <sz val="12"/>
      <color rgb="FF00B050"/>
      <name val="Arial"/>
      <family val="2"/>
    </font>
    <font>
      <sz val="12"/>
      <color rgb="FF00B050"/>
      <name val="Arial"/>
      <family val="2"/>
    </font>
    <font>
      <sz val="12"/>
      <color theme="1"/>
      <name val="Arial"/>
      <family val="2"/>
    </font>
  </fonts>
  <fills count="3">
    <fill>
      <patternFill patternType="none"/>
    </fill>
    <fill>
      <patternFill patternType="gray125"/>
    </fill>
    <fill>
      <patternFill patternType="solid">
        <fgColor rgb="FFFFFF00"/>
        <bgColor indexed="64"/>
      </patternFill>
    </fill>
  </fills>
  <borders count="4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08">
    <xf numFmtId="0" fontId="0" fillId="0" borderId="0" xfId="0"/>
    <xf numFmtId="0" fontId="3" fillId="0" borderId="0" xfId="0" applyFont="1"/>
    <xf numFmtId="0" fontId="4" fillId="0" borderId="0" xfId="0" applyFont="1" applyAlignment="1">
      <alignment horizontal="center"/>
    </xf>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167" fontId="4" fillId="0" borderId="0" xfId="0" applyNumberFormat="1" applyFont="1" applyAlignment="1">
      <alignment horizontal="center"/>
    </xf>
    <xf numFmtId="0" fontId="3" fillId="0" borderId="0" xfId="0" applyFont="1" applyAlignment="1">
      <alignment horizontal="center"/>
    </xf>
    <xf numFmtId="167" fontId="6" fillId="0" borderId="0" xfId="0" applyNumberFormat="1" applyFont="1" applyAlignment="1">
      <alignment horizontal="center"/>
    </xf>
    <xf numFmtId="167" fontId="2" fillId="0" borderId="0" xfId="0" applyNumberFormat="1" applyFont="1" applyAlignment="1">
      <alignment horizontal="center"/>
    </xf>
    <xf numFmtId="167" fontId="2" fillId="0" borderId="0" xfId="0" applyNumberFormat="1" applyFont="1" applyAlignment="1">
      <alignment horizontal="left"/>
    </xf>
    <xf numFmtId="167" fontId="3" fillId="0" borderId="0" xfId="0" applyNumberFormat="1" applyFont="1"/>
    <xf numFmtId="167" fontId="4" fillId="0" borderId="0" xfId="0" applyNumberFormat="1" applyFont="1" applyAlignment="1">
      <alignment horizontal="right"/>
    </xf>
    <xf numFmtId="0" fontId="8" fillId="0" borderId="0" xfId="0" applyFont="1" applyAlignment="1">
      <alignment horizontal="left" vertical="center" wrapText="1"/>
    </xf>
    <xf numFmtId="167" fontId="8" fillId="0" borderId="0" xfId="0" applyNumberFormat="1" applyFont="1" applyAlignment="1">
      <alignment horizontal="left" vertical="center" wrapText="1"/>
    </xf>
    <xf numFmtId="0" fontId="10" fillId="0" borderId="0" xfId="0" applyFont="1" applyAlignment="1">
      <alignment horizontal="left"/>
    </xf>
    <xf numFmtId="167" fontId="10" fillId="0" borderId="0" xfId="0" applyNumberFormat="1" applyFont="1" applyAlignment="1">
      <alignment horizontal="left"/>
    </xf>
    <xf numFmtId="167" fontId="10" fillId="0" borderId="0" xfId="0" applyNumberFormat="1" applyFont="1"/>
    <xf numFmtId="165" fontId="8" fillId="0" borderId="0" xfId="1" applyNumberFormat="1" applyFont="1"/>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0" fontId="14" fillId="0" borderId="0" xfId="0" applyFont="1"/>
    <xf numFmtId="167" fontId="11" fillId="0" borderId="18" xfId="1" applyNumberFormat="1" applyFont="1" applyBorder="1" applyAlignment="1">
      <alignment horizontal="center"/>
    </xf>
    <xf numFmtId="167" fontId="11" fillId="0" borderId="19" xfId="0" applyNumberFormat="1" applyFont="1" applyBorder="1" applyAlignment="1">
      <alignment horizontal="center"/>
    </xf>
    <xf numFmtId="17" fontId="12" fillId="0" borderId="20" xfId="0" quotePrefix="1" applyNumberFormat="1" applyFont="1" applyBorder="1" applyAlignment="1">
      <alignment horizontal="right" wrapText="1"/>
    </xf>
    <xf numFmtId="167" fontId="12" fillId="0" borderId="21" xfId="1" applyNumberFormat="1" applyFont="1" applyBorder="1" applyAlignment="1">
      <alignment horizontal="right"/>
    </xf>
    <xf numFmtId="167" fontId="12" fillId="0" borderId="22" xfId="1" applyNumberFormat="1" applyFont="1" applyBorder="1" applyAlignment="1">
      <alignment horizontal="right"/>
    </xf>
    <xf numFmtId="17" fontId="12" fillId="0" borderId="23" xfId="0" applyNumberFormat="1" applyFont="1" applyBorder="1" applyAlignment="1">
      <alignment horizontal="right"/>
    </xf>
    <xf numFmtId="167" fontId="12" fillId="0" borderId="24" xfId="1" applyNumberFormat="1" applyFont="1" applyBorder="1" applyAlignment="1">
      <alignment horizontal="right"/>
    </xf>
    <xf numFmtId="167" fontId="12" fillId="0" borderId="24" xfId="2" applyNumberFormat="1" applyFont="1" applyBorder="1" applyAlignment="1">
      <alignment horizontal="right"/>
    </xf>
    <xf numFmtId="0" fontId="11" fillId="0" borderId="25" xfId="0" applyFont="1" applyBorder="1" applyAlignment="1">
      <alignment horizontal="right"/>
    </xf>
    <xf numFmtId="167" fontId="11" fillId="0" borderId="19" xfId="1" applyNumberFormat="1" applyFont="1" applyBorder="1" applyAlignment="1">
      <alignment horizontal="right"/>
    </xf>
    <xf numFmtId="167" fontId="12" fillId="0" borderId="0" xfId="0" applyNumberFormat="1" applyFont="1"/>
    <xf numFmtId="10" fontId="11" fillId="0" borderId="15" xfId="0" applyNumberFormat="1" applyFont="1" applyBorder="1" applyAlignment="1">
      <alignment horizontal="right"/>
    </xf>
    <xf numFmtId="10" fontId="12" fillId="0" borderId="12" xfId="3" applyNumberFormat="1" applyFont="1" applyBorder="1" applyAlignment="1">
      <alignment horizontal="right"/>
    </xf>
    <xf numFmtId="44" fontId="12" fillId="0" borderId="17" xfId="2" applyFont="1" applyBorder="1"/>
    <xf numFmtId="43" fontId="12" fillId="0" borderId="17" xfId="1" applyFont="1" applyBorder="1"/>
    <xf numFmtId="10" fontId="12" fillId="0" borderId="17" xfId="0" applyNumberFormat="1" applyFont="1" applyBorder="1"/>
    <xf numFmtId="167" fontId="12" fillId="0" borderId="22" xfId="2" applyNumberFormat="1" applyFont="1" applyBorder="1" applyAlignment="1">
      <alignment horizontal="right"/>
    </xf>
    <xf numFmtId="167" fontId="15" fillId="0" borderId="22" xfId="1" applyNumberFormat="1" applyFont="1" applyBorder="1" applyAlignment="1">
      <alignment horizontal="right"/>
    </xf>
    <xf numFmtId="44" fontId="17" fillId="0" borderId="17" xfId="2" applyFont="1" applyBorder="1"/>
    <xf numFmtId="43" fontId="17" fillId="0" borderId="17" xfId="1" applyFont="1" applyBorder="1"/>
    <xf numFmtId="167" fontId="12" fillId="2" borderId="21" xfId="2" applyNumberFormat="1" applyFont="1" applyFill="1" applyBorder="1" applyAlignment="1">
      <alignment horizontal="right"/>
    </xf>
    <xf numFmtId="10" fontId="18" fillId="0" borderId="12" xfId="3" applyNumberFormat="1" applyFont="1" applyBorder="1" applyAlignment="1">
      <alignment horizontal="right"/>
    </xf>
    <xf numFmtId="167" fontId="18" fillId="0" borderId="22" xfId="1" applyNumberFormat="1" applyFont="1" applyBorder="1" applyAlignment="1">
      <alignment horizontal="right"/>
    </xf>
    <xf numFmtId="167" fontId="18" fillId="0" borderId="22" xfId="2" applyNumberFormat="1" applyFont="1" applyBorder="1" applyAlignment="1">
      <alignment horizontal="right"/>
    </xf>
    <xf numFmtId="10" fontId="17" fillId="0" borderId="17" xfId="0" applyNumberFormat="1" applyFont="1" applyBorder="1" applyAlignment="1">
      <alignment horizontal="righ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7" fillId="0" borderId="16" xfId="0" applyFont="1" applyBorder="1" applyAlignment="1">
      <alignment horizontal="right"/>
    </xf>
    <xf numFmtId="0" fontId="17" fillId="0" borderId="26" xfId="0" applyFont="1" applyBorder="1" applyAlignment="1">
      <alignment horizontal="right"/>
    </xf>
    <xf numFmtId="0" fontId="17" fillId="0" borderId="27" xfId="0" applyFont="1" applyBorder="1" applyAlignment="1">
      <alignment horizontal="right"/>
    </xf>
    <xf numFmtId="0" fontId="16" fillId="0" borderId="16" xfId="0" applyFont="1" applyBorder="1" applyAlignment="1">
      <alignment horizontal="right"/>
    </xf>
    <xf numFmtId="0" fontId="16" fillId="0" borderId="26" xfId="0" applyFont="1" applyBorder="1" applyAlignment="1">
      <alignment horizontal="right"/>
    </xf>
    <xf numFmtId="0" fontId="16" fillId="0" borderId="27" xfId="0" applyFont="1" applyBorder="1" applyAlignment="1">
      <alignment horizontal="right"/>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0" xfId="0" applyFont="1" applyAlignment="1">
      <alignment horizontal="center" vertical="center" wrapText="1"/>
    </xf>
    <xf numFmtId="0" fontId="12" fillId="0" borderId="32"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35" xfId="0" applyFont="1" applyBorder="1" applyAlignment="1">
      <alignment horizontal="center" vertical="center" wrapText="1"/>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167" fontId="12" fillId="0" borderId="26" xfId="0" applyNumberFormat="1" applyFont="1" applyBorder="1" applyAlignment="1">
      <alignment horizontal="center"/>
    </xf>
    <xf numFmtId="167" fontId="12" fillId="0" borderId="27" xfId="0" applyNumberFormat="1" applyFont="1" applyBorder="1" applyAlignment="1">
      <alignment horizontal="center"/>
    </xf>
    <xf numFmtId="167" fontId="12" fillId="0" borderId="16" xfId="0" applyNumberFormat="1" applyFont="1" applyBorder="1" applyAlignment="1">
      <alignment horizontal="center"/>
    </xf>
    <xf numFmtId="0" fontId="12" fillId="0" borderId="16" xfId="0" applyFont="1" applyBorder="1" applyAlignment="1">
      <alignment horizontal="right"/>
    </xf>
    <xf numFmtId="0" fontId="12" fillId="0" borderId="26" xfId="0" applyFont="1" applyBorder="1" applyAlignment="1">
      <alignment horizontal="right"/>
    </xf>
    <xf numFmtId="0" fontId="12" fillId="0" borderId="27" xfId="0" applyFont="1" applyBorder="1" applyAlignment="1">
      <alignment horizontal="right"/>
    </xf>
    <xf numFmtId="0" fontId="11" fillId="0" borderId="11" xfId="0" applyFont="1" applyBorder="1" applyAlignment="1">
      <alignment horizontal="center"/>
    </xf>
    <xf numFmtId="0" fontId="16" fillId="0" borderId="16" xfId="0" applyFont="1" applyBorder="1" applyAlignment="1">
      <alignment horizontal="center"/>
    </xf>
    <xf numFmtId="0" fontId="17" fillId="0" borderId="26" xfId="0" applyFont="1" applyBorder="1" applyAlignment="1">
      <alignment horizontal="center"/>
    </xf>
    <xf numFmtId="0" fontId="17" fillId="0" borderId="27" xfId="0"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1" fillId="0" borderId="36" xfId="0" applyFont="1" applyBorder="1" applyAlignment="1">
      <alignment horizontal="center"/>
    </xf>
    <xf numFmtId="0" fontId="11" fillId="0" borderId="37" xfId="0" applyFont="1" applyBorder="1" applyAlignment="1">
      <alignment horizontal="center"/>
    </xf>
    <xf numFmtId="0" fontId="11" fillId="0" borderId="38" xfId="0" applyFont="1" applyBorder="1" applyAlignment="1">
      <alignment horizontal="center"/>
    </xf>
    <xf numFmtId="0" fontId="11" fillId="0" borderId="16" xfId="0" applyFont="1" applyBorder="1" applyAlignment="1">
      <alignment horizontal="center"/>
    </xf>
    <xf numFmtId="0" fontId="12" fillId="0" borderId="26" xfId="0" applyFont="1" applyBorder="1" applyAlignment="1">
      <alignment horizontal="center"/>
    </xf>
    <xf numFmtId="0" fontId="12" fillId="0" borderId="27" xfId="0" applyFont="1" applyBorder="1" applyAlignment="1">
      <alignment horizontal="center"/>
    </xf>
    <xf numFmtId="0" fontId="12"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xf numFmtId="0" fontId="11" fillId="0" borderId="7" xfId="0" applyFont="1" applyBorder="1" applyAlignment="1">
      <alignment vertical="center" wrapText="1"/>
    </xf>
    <xf numFmtId="0" fontId="12" fillId="0" borderId="8" xfId="0" applyFont="1" applyBorder="1" applyAlignment="1">
      <alignment vertical="center" wrapText="1"/>
    </xf>
    <xf numFmtId="0" fontId="12" fillId="0" borderId="10" xfId="0" applyFont="1" applyBorder="1" applyAlignment="1">
      <alignment vertical="center" wrapText="1"/>
    </xf>
    <xf numFmtId="167" fontId="15" fillId="0" borderId="31" xfId="2" applyNumberFormat="1" applyFont="1" applyBorder="1" applyAlignment="1">
      <alignment horizontal="right"/>
    </xf>
    <xf numFmtId="167" fontId="15" fillId="0" borderId="12" xfId="2" applyNumberFormat="1" applyFont="1" applyBorder="1" applyAlignment="1">
      <alignment horizontal="right"/>
    </xf>
    <xf numFmtId="167" fontId="12" fillId="0" borderId="41" xfId="2" applyNumberFormat="1" applyFont="1" applyBorder="1" applyAlignment="1">
      <alignment horizontal="right"/>
    </xf>
    <xf numFmtId="167" fontId="12" fillId="0" borderId="10" xfId="2" applyNumberFormat="1" applyFont="1" applyBorder="1" applyAlignment="1">
      <alignment horizontal="right"/>
    </xf>
    <xf numFmtId="167" fontId="11" fillId="0" borderId="39" xfId="1" applyNumberFormat="1" applyFont="1" applyBorder="1" applyAlignment="1">
      <alignment horizontal="right"/>
    </xf>
    <xf numFmtId="167" fontId="11" fillId="0" borderId="15" xfId="1" applyNumberFormat="1" applyFont="1" applyBorder="1" applyAlignment="1">
      <alignment horizontal="right"/>
    </xf>
    <xf numFmtId="0" fontId="12" fillId="0" borderId="0" xfId="0" applyFont="1"/>
    <xf numFmtId="0" fontId="11" fillId="0" borderId="6"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1" fillId="0" borderId="2" xfId="0" applyFont="1" applyBorder="1" applyAlignment="1" applyProtection="1">
      <alignment horizontal="left" vertical="center"/>
      <protection locked="0"/>
    </xf>
    <xf numFmtId="0" fontId="11" fillId="0" borderId="0" xfId="0" applyFont="1" applyAlignment="1" applyProtection="1">
      <alignment horizontal="left" vertical="center"/>
      <protection locked="0"/>
    </xf>
    <xf numFmtId="0" fontId="11" fillId="0" borderId="12" xfId="0" applyFont="1" applyBorder="1" applyAlignment="1" applyProtection="1">
      <alignment horizontal="left" vertical="center"/>
      <protection locked="0"/>
    </xf>
    <xf numFmtId="167" fontId="12" fillId="0" borderId="31" xfId="2" applyNumberFormat="1" applyFont="1" applyBorder="1" applyAlignment="1">
      <alignment horizontal="right"/>
    </xf>
    <xf numFmtId="167" fontId="12" fillId="0" borderId="12" xfId="2" applyNumberFormat="1" applyFont="1" applyBorder="1" applyAlignment="1">
      <alignment horizontal="right"/>
    </xf>
    <xf numFmtId="44" fontId="12" fillId="0" borderId="40" xfId="2" applyFont="1" applyBorder="1" applyAlignment="1">
      <alignment horizontal="right"/>
    </xf>
    <xf numFmtId="44" fontId="12" fillId="0" borderId="5" xfId="2" applyFont="1" applyBorder="1" applyAlignment="1">
      <alignment horizontal="right"/>
    </xf>
    <xf numFmtId="167" fontId="4" fillId="0" borderId="0" xfId="0" applyNumberFormat="1" applyFont="1" applyAlignment="1">
      <alignment horizontal="center"/>
    </xf>
    <xf numFmtId="0" fontId="11" fillId="0" borderId="20" xfId="0" applyFont="1" applyBorder="1" applyAlignment="1">
      <alignment horizontal="center"/>
    </xf>
    <xf numFmtId="0" fontId="11" fillId="0" borderId="23" xfId="0" applyFont="1" applyBorder="1" applyAlignment="1">
      <alignment horizontal="center"/>
    </xf>
    <xf numFmtId="167" fontId="11" fillId="0" borderId="21" xfId="0" applyNumberFormat="1" applyFont="1" applyBorder="1" applyAlignment="1">
      <alignment horizontal="center"/>
    </xf>
    <xf numFmtId="167" fontId="11" fillId="0" borderId="24" xfId="0" applyNumberFormat="1" applyFont="1" applyBorder="1" applyAlignment="1">
      <alignment horizontal="center"/>
    </xf>
    <xf numFmtId="167" fontId="11" fillId="0" borderId="39" xfId="0" applyNumberFormat="1" applyFont="1" applyBorder="1" applyAlignment="1">
      <alignment horizontal="center"/>
    </xf>
    <xf numFmtId="167" fontId="12" fillId="0" borderId="14" xfId="0" applyNumberFormat="1" applyFont="1" applyBorder="1" applyAlignment="1">
      <alignment horizontal="center"/>
    </xf>
    <xf numFmtId="167" fontId="12" fillId="0" borderId="18" xfId="0" applyNumberFormat="1" applyFont="1" applyBorder="1" applyAlignment="1">
      <alignment horizontal="center"/>
    </xf>
    <xf numFmtId="167" fontId="11" fillId="0" borderId="21" xfId="0" applyNumberFormat="1" applyFont="1" applyBorder="1" applyAlignment="1">
      <alignment horizontal="center" wrapText="1"/>
    </xf>
    <xf numFmtId="167" fontId="11" fillId="0" borderId="24" xfId="0" applyNumberFormat="1" applyFont="1" applyBorder="1" applyAlignment="1">
      <alignment horizontal="center" wrapText="1"/>
    </xf>
    <xf numFmtId="0" fontId="11" fillId="0" borderId="4" xfId="0" applyFont="1" applyBorder="1" applyAlignment="1">
      <alignment horizontal="center" wrapText="1"/>
    </xf>
    <xf numFmtId="0" fontId="11" fillId="0" borderId="5" xfId="0" applyFont="1" applyBorder="1" applyAlignment="1">
      <alignment horizontal="center" wrapText="1"/>
    </xf>
    <xf numFmtId="0" fontId="11" fillId="0" borderId="8" xfId="0" applyFont="1" applyBorder="1" applyAlignment="1">
      <alignment horizontal="center" wrapText="1"/>
    </xf>
    <xf numFmtId="0" fontId="11" fillId="0" borderId="10" xfId="0" applyFont="1" applyBorder="1" applyAlignment="1">
      <alignment horizontal="center" wrapText="1"/>
    </xf>
  </cellXfs>
  <cellStyles count="4">
    <cellStyle name="Comma 2" xfId="1" xr:uid="{00000000-0005-0000-0000-000000000000}"/>
    <cellStyle name="Currency 2" xfId="2" xr:uid="{00000000-0005-0000-0000-000001000000}"/>
    <cellStyle name="Normal" xfId="0" builtinId="0"/>
    <cellStyle name="Percent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9525</xdr:rowOff>
    </xdr:from>
    <xdr:to>
      <xdr:col>3</xdr:col>
      <xdr:colOff>133350</xdr:colOff>
      <xdr:row>3</xdr:row>
      <xdr:rowOff>130175</xdr:rowOff>
    </xdr:to>
    <xdr:pic>
      <xdr:nvPicPr>
        <xdr:cNvPr id="10261" name="Picture 1">
          <a:extLst>
            <a:ext uri="{FF2B5EF4-FFF2-40B4-BE49-F238E27FC236}">
              <a16:creationId xmlns:a16="http://schemas.microsoft.com/office/drawing/2014/main" id="{00000000-0008-0000-0000-0000152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266700"/>
          <a:ext cx="17145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276225</xdr:colOff>
      <xdr:row>0</xdr:row>
      <xdr:rowOff>104775</xdr:rowOff>
    </xdr:from>
    <xdr:to>
      <xdr:col>1</xdr:col>
      <xdr:colOff>1847850</xdr:colOff>
      <xdr:row>3</xdr:row>
      <xdr:rowOff>0</xdr:rowOff>
    </xdr:to>
    <xdr:pic>
      <xdr:nvPicPr>
        <xdr:cNvPr id="11286" name="Picture 1">
          <a:extLst>
            <a:ext uri="{FF2B5EF4-FFF2-40B4-BE49-F238E27FC236}">
              <a16:creationId xmlns:a16="http://schemas.microsoft.com/office/drawing/2014/main" id="{00000000-0008-0000-0100-0000162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104775"/>
          <a:ext cx="15716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abSelected="1" workbookViewId="0">
      <selection activeCell="J18" sqref="J18"/>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72" t="s">
        <v>53</v>
      </c>
      <c r="C1" s="172"/>
      <c r="D1" s="172"/>
      <c r="E1" s="172"/>
      <c r="F1" s="172"/>
      <c r="G1" s="172"/>
      <c r="H1" s="172"/>
      <c r="I1" s="172"/>
      <c r="J1" s="172"/>
      <c r="K1" s="172"/>
      <c r="L1" s="172"/>
      <c r="M1" s="172"/>
      <c r="N1" s="172"/>
    </row>
    <row r="2" spans="2:26" s="1" customFormat="1" ht="20.25" customHeight="1" x14ac:dyDescent="0.25">
      <c r="B2" s="173" t="s">
        <v>41</v>
      </c>
      <c r="C2" s="173"/>
      <c r="D2" s="173"/>
      <c r="E2" s="173"/>
      <c r="F2" s="173"/>
      <c r="G2" s="173"/>
      <c r="H2" s="173"/>
      <c r="I2" s="173"/>
      <c r="J2" s="173"/>
      <c r="K2" s="173"/>
      <c r="L2" s="173"/>
      <c r="M2" s="173"/>
      <c r="N2" s="173"/>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32"/>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58" t="s">
        <v>2</v>
      </c>
      <c r="C5" s="158"/>
      <c r="D5" s="159" t="s">
        <v>54</v>
      </c>
      <c r="E5" s="159"/>
      <c r="F5" s="159"/>
      <c r="G5" s="159"/>
      <c r="H5" s="14"/>
      <c r="I5" s="15"/>
      <c r="J5" s="15"/>
      <c r="K5" s="158" t="s">
        <v>3</v>
      </c>
      <c r="L5" s="158"/>
      <c r="M5" s="159" t="s">
        <v>37</v>
      </c>
      <c r="N5" s="159"/>
    </row>
    <row r="6" spans="2:26" s="1" customFormat="1" ht="20.25" customHeight="1" x14ac:dyDescent="0.25">
      <c r="B6" s="158" t="s">
        <v>4</v>
      </c>
      <c r="C6" s="158"/>
      <c r="D6" s="159" t="s">
        <v>37</v>
      </c>
      <c r="E6" s="159"/>
      <c r="F6" s="159"/>
      <c r="G6" s="159"/>
      <c r="H6" s="14"/>
      <c r="I6" s="11"/>
      <c r="J6" s="11"/>
      <c r="K6" s="158" t="s">
        <v>5</v>
      </c>
      <c r="L6" s="158"/>
      <c r="M6" s="159" t="s">
        <v>55</v>
      </c>
      <c r="N6" s="159"/>
    </row>
    <row r="7" spans="2:26" ht="21" customHeight="1" thickBot="1" x14ac:dyDescent="0.25">
      <c r="C7" s="17"/>
      <c r="D7" s="17"/>
      <c r="E7" s="17"/>
    </row>
    <row r="8" spans="2:26" s="34" customFormat="1" ht="15.75" customHeight="1" thickBot="1" x14ac:dyDescent="0.25">
      <c r="B8" s="160" t="s">
        <v>6</v>
      </c>
      <c r="C8" s="161"/>
      <c r="D8" s="161"/>
      <c r="E8" s="161"/>
      <c r="F8" s="161"/>
      <c r="G8" s="161"/>
      <c r="H8" s="33" t="s">
        <v>7</v>
      </c>
      <c r="I8" s="162" t="s">
        <v>8</v>
      </c>
      <c r="J8" s="162"/>
      <c r="K8" s="162"/>
      <c r="L8" s="163"/>
      <c r="M8" s="164" t="s">
        <v>9</v>
      </c>
      <c r="N8" s="163"/>
    </row>
    <row r="9" spans="2:26" s="34" customFormat="1" ht="15.75" customHeight="1" x14ac:dyDescent="0.25">
      <c r="B9" s="35"/>
      <c r="C9" s="36"/>
      <c r="D9" s="36"/>
      <c r="E9" s="36"/>
      <c r="F9" s="36"/>
      <c r="G9" s="37"/>
      <c r="H9" s="38"/>
      <c r="I9" s="39"/>
      <c r="J9" s="39"/>
      <c r="K9" s="39"/>
      <c r="L9" s="40"/>
      <c r="M9" s="41" t="s">
        <v>10</v>
      </c>
      <c r="N9" s="42" t="s">
        <v>11</v>
      </c>
    </row>
    <row r="10" spans="2:26" s="34" customFormat="1" ht="15.75" customHeight="1" thickBot="1" x14ac:dyDescent="0.3">
      <c r="B10" s="43" t="s">
        <v>12</v>
      </c>
      <c r="C10" s="44" t="s">
        <v>13</v>
      </c>
      <c r="D10" s="45" t="s">
        <v>61</v>
      </c>
      <c r="E10" s="44" t="s">
        <v>14</v>
      </c>
      <c r="F10" s="44" t="s">
        <v>15</v>
      </c>
      <c r="G10" s="44" t="s">
        <v>16</v>
      </c>
      <c r="H10" s="46" t="s">
        <v>17</v>
      </c>
      <c r="I10" s="47" t="s">
        <v>18</v>
      </c>
      <c r="J10" s="47" t="s">
        <v>19</v>
      </c>
      <c r="K10" s="47" t="s">
        <v>20</v>
      </c>
      <c r="L10" s="48" t="s">
        <v>21</v>
      </c>
      <c r="M10" s="49" t="s">
        <v>22</v>
      </c>
      <c r="N10" s="50" t="s">
        <v>23</v>
      </c>
    </row>
    <row r="11" spans="2:26" s="34" customFormat="1" ht="15.75" customHeight="1" x14ac:dyDescent="0.2">
      <c r="B11" s="51"/>
      <c r="C11" s="52"/>
      <c r="D11" s="52"/>
      <c r="E11" s="52"/>
      <c r="F11" s="52"/>
      <c r="G11" s="53"/>
      <c r="H11" s="54"/>
      <c r="I11" s="55"/>
      <c r="J11" s="56"/>
      <c r="K11" s="57"/>
      <c r="L11" s="58"/>
      <c r="M11" s="59"/>
      <c r="N11" s="60"/>
      <c r="R11" s="61"/>
    </row>
    <row r="12" spans="2:26" s="34" customFormat="1" ht="15.75" customHeight="1" x14ac:dyDescent="0.2">
      <c r="B12" s="62">
        <v>46023</v>
      </c>
      <c r="C12" s="63">
        <v>171</v>
      </c>
      <c r="D12" s="63">
        <v>16</v>
      </c>
      <c r="E12" s="63">
        <v>14</v>
      </c>
      <c r="F12" s="63">
        <v>11</v>
      </c>
      <c r="G12" s="64">
        <f>SUM(C12:F12)</f>
        <v>212</v>
      </c>
      <c r="H12" s="65">
        <f>(C12*$E$29)+(D12*$E$30)+(E12*$E$31)+(F12*$E$32)</f>
        <v>1388.6</v>
      </c>
      <c r="I12" s="66">
        <f>(C12*$C$29)+(D12*$C$30)+(E12*$C$31)+(F12*$C$32)</f>
        <v>3157.49</v>
      </c>
      <c r="J12" s="67">
        <v>0</v>
      </c>
      <c r="K12" s="67">
        <v>0</v>
      </c>
      <c r="L12" s="64">
        <v>0</v>
      </c>
      <c r="M12" s="66">
        <f>I12-K12</f>
        <v>3157.49</v>
      </c>
      <c r="N12" s="111">
        <f>K12/I12</f>
        <v>0</v>
      </c>
      <c r="Q12" s="61"/>
      <c r="R12" s="61"/>
    </row>
    <row r="13" spans="2:26" s="34" customFormat="1" ht="15.75" customHeight="1" x14ac:dyDescent="0.2">
      <c r="B13" s="62">
        <v>46054</v>
      </c>
      <c r="C13" s="63">
        <v>168</v>
      </c>
      <c r="D13" s="63">
        <v>15</v>
      </c>
      <c r="E13" s="63">
        <v>14</v>
      </c>
      <c r="F13" s="63">
        <v>11</v>
      </c>
      <c r="G13" s="64">
        <f>SUM(C13:F13)</f>
        <v>208</v>
      </c>
      <c r="H13" s="65">
        <f t="shared" ref="H13:H23" si="0">(C13*$E$29)+(D13*$E$30)+(E13*$E$31)+(F13*$E$32)</f>
        <v>1362.3999999999999</v>
      </c>
      <c r="I13" s="66">
        <f t="shared" ref="I13:I23" si="1">(C13*$C$29)+(D13*$C$30)+(E13*$C$31)+(F13*$C$32)</f>
        <v>3099.47</v>
      </c>
      <c r="J13" s="67">
        <v>4116</v>
      </c>
      <c r="K13" s="67">
        <v>2335</v>
      </c>
      <c r="L13" s="64">
        <v>11</v>
      </c>
      <c r="M13" s="66">
        <f t="shared" ref="M13:M23" si="2">I13-K13</f>
        <v>764.4699999999998</v>
      </c>
      <c r="N13" s="111">
        <f t="shared" ref="N13:N17" si="3">K13/I13</f>
        <v>0.75335460578744118</v>
      </c>
      <c r="Q13" s="68"/>
      <c r="R13" s="61"/>
    </row>
    <row r="14" spans="2:26" s="34" customFormat="1" ht="15.75" customHeight="1" x14ac:dyDescent="0.2">
      <c r="B14" s="62">
        <v>46082</v>
      </c>
      <c r="C14" s="63">
        <v>166</v>
      </c>
      <c r="D14" s="63">
        <v>16</v>
      </c>
      <c r="E14" s="63">
        <v>14</v>
      </c>
      <c r="F14" s="63">
        <v>11</v>
      </c>
      <c r="G14" s="64">
        <f t="shared" ref="G14:G23" si="4">SUM(C14:F14)</f>
        <v>207</v>
      </c>
      <c r="H14" s="65">
        <f t="shared" si="0"/>
        <v>1355.85</v>
      </c>
      <c r="I14" s="66">
        <f t="shared" si="1"/>
        <v>3099.49</v>
      </c>
      <c r="J14" s="67">
        <v>7217.5</v>
      </c>
      <c r="K14" s="67">
        <v>2345.9</v>
      </c>
      <c r="L14" s="64">
        <v>14</v>
      </c>
      <c r="M14" s="66">
        <f t="shared" si="2"/>
        <v>753.58999999999969</v>
      </c>
      <c r="N14" s="111">
        <f t="shared" si="3"/>
        <v>0.75686645222278515</v>
      </c>
      <c r="Q14" s="68"/>
      <c r="R14" s="61"/>
    </row>
    <row r="15" spans="2:26" s="34" customFormat="1" ht="15.75" customHeight="1" x14ac:dyDescent="0.2">
      <c r="B15" s="62">
        <v>46113</v>
      </c>
      <c r="C15" s="63">
        <v>165</v>
      </c>
      <c r="D15" s="63">
        <v>16</v>
      </c>
      <c r="E15" s="63">
        <v>14</v>
      </c>
      <c r="F15" s="63">
        <v>11</v>
      </c>
      <c r="G15" s="64">
        <f t="shared" si="4"/>
        <v>206</v>
      </c>
      <c r="H15" s="65">
        <f t="shared" si="0"/>
        <v>1349.3</v>
      </c>
      <c r="I15" s="66">
        <f t="shared" si="1"/>
        <v>3087.89</v>
      </c>
      <c r="J15" s="67">
        <v>2984.5</v>
      </c>
      <c r="K15" s="67">
        <v>1465.9</v>
      </c>
      <c r="L15" s="64">
        <v>11</v>
      </c>
      <c r="M15" s="66">
        <f t="shared" si="2"/>
        <v>1621.9899999999998</v>
      </c>
      <c r="N15" s="111">
        <f t="shared" si="3"/>
        <v>0.47472545977997926</v>
      </c>
      <c r="Q15" s="68"/>
      <c r="R15" s="61"/>
    </row>
    <row r="16" spans="2:26" s="34" customFormat="1" ht="15.75" customHeight="1" x14ac:dyDescent="0.2">
      <c r="B16" s="62">
        <v>46143</v>
      </c>
      <c r="C16" s="63">
        <v>139</v>
      </c>
      <c r="D16" s="63">
        <v>16</v>
      </c>
      <c r="E16" s="63">
        <v>13</v>
      </c>
      <c r="F16" s="63">
        <v>9</v>
      </c>
      <c r="G16" s="64">
        <f t="shared" si="4"/>
        <v>177</v>
      </c>
      <c r="H16" s="65">
        <f t="shared" si="0"/>
        <v>1159.3499999999999</v>
      </c>
      <c r="I16" s="66">
        <f t="shared" si="1"/>
        <v>2676.29</v>
      </c>
      <c r="J16" s="67">
        <v>8146.5</v>
      </c>
      <c r="K16" s="67">
        <v>4159.3</v>
      </c>
      <c r="L16" s="64">
        <v>32</v>
      </c>
      <c r="M16" s="66">
        <f t="shared" si="2"/>
        <v>-1483.0100000000002</v>
      </c>
      <c r="N16" s="111">
        <f t="shared" si="3"/>
        <v>1.5541290368383098</v>
      </c>
      <c r="Q16" s="68"/>
      <c r="R16" s="61"/>
    </row>
    <row r="17" spans="2:18" s="34" customFormat="1" ht="15.75" customHeight="1" x14ac:dyDescent="0.2">
      <c r="B17" s="62">
        <v>46174</v>
      </c>
      <c r="C17" s="63">
        <v>137</v>
      </c>
      <c r="D17" s="63">
        <v>16</v>
      </c>
      <c r="E17" s="63">
        <v>13</v>
      </c>
      <c r="F17" s="63">
        <v>9</v>
      </c>
      <c r="G17" s="64">
        <f t="shared" si="4"/>
        <v>175</v>
      </c>
      <c r="H17" s="65">
        <f t="shared" si="0"/>
        <v>1146.25</v>
      </c>
      <c r="I17" s="66">
        <f t="shared" si="1"/>
        <v>2653.09</v>
      </c>
      <c r="J17" s="67">
        <v>7865</v>
      </c>
      <c r="K17" s="67">
        <v>2705.1</v>
      </c>
      <c r="L17" s="64">
        <v>16</v>
      </c>
      <c r="M17" s="66">
        <f t="shared" si="2"/>
        <v>-52.009999999999764</v>
      </c>
      <c r="N17" s="111">
        <f t="shared" si="3"/>
        <v>1.0196035566075783</v>
      </c>
      <c r="Q17" s="68"/>
      <c r="R17" s="61"/>
    </row>
    <row r="18" spans="2:18" s="34" customFormat="1" ht="15.75" customHeight="1" x14ac:dyDescent="0.2">
      <c r="B18" s="62">
        <v>46204</v>
      </c>
      <c r="C18" s="63"/>
      <c r="D18" s="63"/>
      <c r="E18" s="63"/>
      <c r="F18" s="63"/>
      <c r="G18" s="64">
        <f t="shared" si="4"/>
        <v>0</v>
      </c>
      <c r="H18" s="65">
        <f t="shared" si="0"/>
        <v>0</v>
      </c>
      <c r="I18" s="66">
        <f t="shared" si="1"/>
        <v>0</v>
      </c>
      <c r="J18" s="67"/>
      <c r="K18" s="67"/>
      <c r="L18" s="64"/>
      <c r="M18" s="66">
        <f t="shared" si="2"/>
        <v>0</v>
      </c>
      <c r="N18" s="111"/>
      <c r="Q18" s="68"/>
      <c r="R18" s="61"/>
    </row>
    <row r="19" spans="2:18" s="34" customFormat="1" ht="15.75" customHeight="1" x14ac:dyDescent="0.2">
      <c r="B19" s="62">
        <v>46235</v>
      </c>
      <c r="C19" s="63"/>
      <c r="D19" s="63"/>
      <c r="E19" s="63"/>
      <c r="F19" s="63"/>
      <c r="G19" s="64">
        <f t="shared" si="4"/>
        <v>0</v>
      </c>
      <c r="H19" s="65">
        <f t="shared" si="0"/>
        <v>0</v>
      </c>
      <c r="I19" s="66">
        <f t="shared" si="1"/>
        <v>0</v>
      </c>
      <c r="J19" s="67"/>
      <c r="K19" s="67"/>
      <c r="L19" s="64"/>
      <c r="M19" s="66">
        <f t="shared" si="2"/>
        <v>0</v>
      </c>
      <c r="N19" s="111"/>
      <c r="Q19" s="68"/>
      <c r="R19" s="61"/>
    </row>
    <row r="20" spans="2:18" s="34" customFormat="1" ht="15.75" customHeight="1" x14ac:dyDescent="0.2">
      <c r="B20" s="62">
        <v>46266</v>
      </c>
      <c r="C20" s="63"/>
      <c r="D20" s="63"/>
      <c r="E20" s="63"/>
      <c r="F20" s="63"/>
      <c r="G20" s="64">
        <f t="shared" si="4"/>
        <v>0</v>
      </c>
      <c r="H20" s="65">
        <f t="shared" si="0"/>
        <v>0</v>
      </c>
      <c r="I20" s="66">
        <f t="shared" si="1"/>
        <v>0</v>
      </c>
      <c r="J20" s="67"/>
      <c r="K20" s="67"/>
      <c r="L20" s="64"/>
      <c r="M20" s="66">
        <f t="shared" si="2"/>
        <v>0</v>
      </c>
      <c r="N20" s="111"/>
      <c r="Q20" s="68"/>
      <c r="R20" s="61"/>
    </row>
    <row r="21" spans="2:18" s="34" customFormat="1" ht="15.75" customHeight="1" x14ac:dyDescent="0.2">
      <c r="B21" s="62">
        <v>46296</v>
      </c>
      <c r="C21" s="63"/>
      <c r="D21" s="63"/>
      <c r="E21" s="63"/>
      <c r="F21" s="63"/>
      <c r="G21" s="64">
        <f t="shared" si="4"/>
        <v>0</v>
      </c>
      <c r="H21" s="65">
        <f t="shared" si="0"/>
        <v>0</v>
      </c>
      <c r="I21" s="66">
        <f t="shared" si="1"/>
        <v>0</v>
      </c>
      <c r="J21" s="67"/>
      <c r="K21" s="67"/>
      <c r="L21" s="64"/>
      <c r="M21" s="66">
        <f t="shared" si="2"/>
        <v>0</v>
      </c>
      <c r="N21" s="111"/>
      <c r="Q21" s="68"/>
      <c r="R21" s="61"/>
    </row>
    <row r="22" spans="2:18" s="34" customFormat="1" ht="15.75" customHeight="1" x14ac:dyDescent="0.2">
      <c r="B22" s="62">
        <v>46327</v>
      </c>
      <c r="C22" s="63"/>
      <c r="D22" s="63"/>
      <c r="E22" s="63"/>
      <c r="F22" s="63"/>
      <c r="G22" s="64">
        <f t="shared" si="4"/>
        <v>0</v>
      </c>
      <c r="H22" s="65">
        <f t="shared" si="0"/>
        <v>0</v>
      </c>
      <c r="I22" s="66">
        <f>(C22*$C$29)+(D22*$C$30)+(E22*$C$31)+(F22*$C$32)</f>
        <v>0</v>
      </c>
      <c r="J22" s="67"/>
      <c r="K22" s="67"/>
      <c r="L22" s="64"/>
      <c r="M22" s="66">
        <f t="shared" si="2"/>
        <v>0</v>
      </c>
      <c r="N22" s="111"/>
      <c r="Q22" s="68"/>
      <c r="R22" s="61"/>
    </row>
    <row r="23" spans="2:18" s="34" customFormat="1" ht="15.75" customHeight="1" x14ac:dyDescent="0.2">
      <c r="B23" s="62">
        <v>46357</v>
      </c>
      <c r="C23" s="63"/>
      <c r="D23" s="63"/>
      <c r="E23" s="63"/>
      <c r="F23" s="63"/>
      <c r="G23" s="64">
        <f t="shared" si="4"/>
        <v>0</v>
      </c>
      <c r="H23" s="65">
        <f t="shared" si="0"/>
        <v>0</v>
      </c>
      <c r="I23" s="66">
        <f t="shared" si="1"/>
        <v>0</v>
      </c>
      <c r="J23" s="67"/>
      <c r="K23" s="67"/>
      <c r="L23" s="64"/>
      <c r="M23" s="66">
        <f t="shared" si="2"/>
        <v>0</v>
      </c>
      <c r="N23" s="120"/>
      <c r="Q23" s="68"/>
      <c r="R23" s="61"/>
    </row>
    <row r="24" spans="2:18" s="34" customFormat="1" ht="15.75" customHeight="1" thickBot="1" x14ac:dyDescent="0.25">
      <c r="B24" s="62"/>
      <c r="C24" s="69"/>
      <c r="D24" s="69"/>
      <c r="E24" s="69"/>
      <c r="F24" s="69"/>
      <c r="G24" s="70"/>
      <c r="H24" s="71"/>
      <c r="I24" s="72"/>
      <c r="J24" s="73"/>
      <c r="K24" s="74"/>
      <c r="L24" s="75"/>
      <c r="M24" s="76"/>
      <c r="N24" s="77"/>
    </row>
    <row r="25" spans="2:18" s="84" customFormat="1" ht="15.75" customHeight="1" thickBot="1" x14ac:dyDescent="0.3">
      <c r="B25" s="78" t="s">
        <v>24</v>
      </c>
      <c r="C25" s="79">
        <f>AVERAGEIF(C12:C23,"&gt;0")</f>
        <v>157.66666666666666</v>
      </c>
      <c r="D25" s="79">
        <f>AVERAGEIF(D12:D23,"&gt;0")</f>
        <v>15.833333333333334</v>
      </c>
      <c r="E25" s="79">
        <f>AVERAGEIF(E12:E23,"&gt;0")</f>
        <v>13.666666666666666</v>
      </c>
      <c r="F25" s="79">
        <f>AVERAGEIF(F12:F23,"&gt;0")</f>
        <v>10.333333333333334</v>
      </c>
      <c r="G25" s="79">
        <f>AVERAGEIF(G12:G23,"&gt;0")</f>
        <v>197.5</v>
      </c>
      <c r="H25" s="80">
        <f>SUM(H11:H23)</f>
        <v>7761.75</v>
      </c>
      <c r="I25" s="80">
        <f>SUM(I11:I23)</f>
        <v>17773.719999999998</v>
      </c>
      <c r="J25" s="81">
        <f>SUM(J11:J23)</f>
        <v>30329.5</v>
      </c>
      <c r="K25" s="82">
        <f>SUM(K11:K23)</f>
        <v>13011.199999999999</v>
      </c>
      <c r="L25" s="83">
        <f>SUM(L12:L23)</f>
        <v>84</v>
      </c>
      <c r="M25" s="80">
        <f>SUM(M12:M23)</f>
        <v>4762.5199999999986</v>
      </c>
      <c r="N25" s="110">
        <f>K25/I25</f>
        <v>0.73204708974823507</v>
      </c>
    </row>
    <row r="26" spans="2:18" s="34" customFormat="1" ht="15.75" customHeight="1" x14ac:dyDescent="0.2">
      <c r="J26" s="85"/>
      <c r="L26" s="86"/>
    </row>
    <row r="27" spans="2:18" s="34" customFormat="1" ht="15.75" customHeight="1" x14ac:dyDescent="0.25">
      <c r="B27" s="165" t="s">
        <v>25</v>
      </c>
      <c r="C27" s="166"/>
      <c r="D27" s="166"/>
      <c r="E27" s="166"/>
      <c r="F27" s="166"/>
      <c r="G27" s="167"/>
      <c r="H27" s="87"/>
      <c r="J27" s="168" t="s">
        <v>26</v>
      </c>
      <c r="K27" s="169"/>
      <c r="L27" s="169"/>
      <c r="M27" s="169"/>
      <c r="N27" s="170"/>
    </row>
    <row r="28" spans="2:18" s="34" customFormat="1" ht="15.75" customHeight="1" x14ac:dyDescent="0.2">
      <c r="B28" s="88"/>
      <c r="C28" s="169" t="s">
        <v>27</v>
      </c>
      <c r="D28" s="170"/>
      <c r="E28" s="171" t="s">
        <v>28</v>
      </c>
      <c r="F28" s="170"/>
      <c r="G28" s="89" t="s">
        <v>16</v>
      </c>
      <c r="H28" s="85"/>
      <c r="J28" s="151" t="s">
        <v>29</v>
      </c>
      <c r="K28" s="152"/>
      <c r="L28" s="152"/>
      <c r="M28" s="153"/>
      <c r="N28" s="112">
        <f>J25/L25</f>
        <v>361.0654761904762</v>
      </c>
    </row>
    <row r="29" spans="2:18" s="34" customFormat="1" ht="15.75" customHeight="1" x14ac:dyDescent="0.2">
      <c r="B29" s="90" t="s">
        <v>30</v>
      </c>
      <c r="C29" s="148">
        <v>11.6</v>
      </c>
      <c r="D29" s="149"/>
      <c r="E29" s="150">
        <v>6.55</v>
      </c>
      <c r="F29" s="149"/>
      <c r="G29" s="91">
        <f>C29+E29</f>
        <v>18.149999999999999</v>
      </c>
      <c r="H29" s="92"/>
      <c r="J29" s="151" t="s">
        <v>31</v>
      </c>
      <c r="K29" s="152"/>
      <c r="L29" s="152"/>
      <c r="M29" s="153"/>
      <c r="N29" s="112">
        <f>K25/L25</f>
        <v>154.89523809523808</v>
      </c>
    </row>
    <row r="30" spans="2:18" s="34" customFormat="1" ht="15.75" customHeight="1" x14ac:dyDescent="0.2">
      <c r="B30" s="93" t="str">
        <f>IF(D10="E+1","EE &amp; One","EE &amp; Spouse")</f>
        <v>EE &amp; Spouse</v>
      </c>
      <c r="C30" s="148">
        <v>23.22</v>
      </c>
      <c r="D30" s="149"/>
      <c r="E30" s="150">
        <v>6.55</v>
      </c>
      <c r="F30" s="149"/>
      <c r="G30" s="91">
        <f>C30+E30</f>
        <v>29.77</v>
      </c>
      <c r="H30" s="92"/>
      <c r="J30" s="151" t="s">
        <v>32</v>
      </c>
      <c r="K30" s="152"/>
      <c r="L30" s="152"/>
      <c r="M30" s="153"/>
      <c r="N30" s="113">
        <f>((L25/COUNTIF(G12:G23,"&gt;0"))*12)/G25</f>
        <v>0.85063291139240504</v>
      </c>
    </row>
    <row r="31" spans="2:18" s="34" customFormat="1" ht="15.75" customHeight="1" x14ac:dyDescent="0.2">
      <c r="B31" s="90" t="s">
        <v>38</v>
      </c>
      <c r="C31" s="148">
        <v>23.22</v>
      </c>
      <c r="D31" s="149"/>
      <c r="E31" s="150">
        <v>6.55</v>
      </c>
      <c r="F31" s="149"/>
      <c r="G31" s="91">
        <f>C31+E31</f>
        <v>29.77</v>
      </c>
      <c r="H31" s="92"/>
      <c r="J31" s="151" t="s">
        <v>33</v>
      </c>
      <c r="K31" s="152"/>
      <c r="L31" s="152"/>
      <c r="M31" s="153"/>
      <c r="N31" s="114">
        <f>K25/J25</f>
        <v>0.42899487297845329</v>
      </c>
    </row>
    <row r="32" spans="2:18" s="34" customFormat="1" ht="15.75" customHeight="1" x14ac:dyDescent="0.2">
      <c r="B32" s="90" t="s">
        <v>34</v>
      </c>
      <c r="C32" s="148">
        <v>43.39</v>
      </c>
      <c r="D32" s="149"/>
      <c r="E32" s="150">
        <v>6.55</v>
      </c>
      <c r="F32" s="149"/>
      <c r="G32" s="91">
        <f>C32+E32</f>
        <v>49.94</v>
      </c>
      <c r="H32" s="92"/>
      <c r="J32" s="151" t="s">
        <v>35</v>
      </c>
      <c r="K32" s="152"/>
      <c r="L32" s="152"/>
      <c r="M32" s="153"/>
      <c r="N32" s="112">
        <f>K25/G25/(COUNTIF(G12:G23,"&gt;0"))</f>
        <v>10.979915611814347</v>
      </c>
    </row>
    <row r="33" spans="2:14" s="34" customFormat="1" ht="15.75" customHeight="1" x14ac:dyDescent="0.2">
      <c r="C33" s="92"/>
      <c r="D33" s="92"/>
      <c r="E33" s="92"/>
      <c r="F33" s="94"/>
      <c r="G33" s="92"/>
      <c r="H33" s="92"/>
      <c r="J33" s="95"/>
      <c r="K33" s="95"/>
      <c r="L33" s="95"/>
      <c r="M33" s="95"/>
      <c r="N33" s="96"/>
    </row>
    <row r="34" spans="2:14" s="34" customFormat="1" ht="15.75" customHeight="1" thickBot="1" x14ac:dyDescent="0.25">
      <c r="J34" s="85"/>
      <c r="L34" s="86"/>
    </row>
    <row r="35" spans="2:14" s="34" customFormat="1" ht="15.75" customHeight="1" thickBot="1" x14ac:dyDescent="0.3">
      <c r="B35" s="154" t="s">
        <v>36</v>
      </c>
      <c r="C35" s="154"/>
      <c r="D35" s="154"/>
      <c r="E35" s="154"/>
      <c r="F35" s="154"/>
      <c r="G35" s="154"/>
      <c r="H35" s="87"/>
      <c r="J35" s="155" t="s">
        <v>39</v>
      </c>
      <c r="K35" s="156"/>
      <c r="L35" s="156"/>
      <c r="M35" s="156"/>
      <c r="N35" s="157"/>
    </row>
    <row r="36" spans="2:14" s="34" customFormat="1" ht="15.75" customHeight="1" x14ac:dyDescent="0.2">
      <c r="B36" s="145" t="s">
        <v>56</v>
      </c>
      <c r="C36" s="146"/>
      <c r="D36" s="146"/>
      <c r="E36" s="146"/>
      <c r="F36" s="146"/>
      <c r="G36" s="147"/>
      <c r="H36" s="97"/>
      <c r="J36" s="127" t="s">
        <v>29</v>
      </c>
      <c r="K36" s="128"/>
      <c r="L36" s="128"/>
      <c r="M36" s="129"/>
      <c r="N36" s="117">
        <v>425.25</v>
      </c>
    </row>
    <row r="37" spans="2:14" s="34" customFormat="1" ht="15.75" customHeight="1" x14ac:dyDescent="0.2">
      <c r="B37" s="142" t="s">
        <v>57</v>
      </c>
      <c r="C37" s="143"/>
      <c r="D37" s="143"/>
      <c r="E37" s="143"/>
      <c r="F37" s="143"/>
      <c r="G37" s="144"/>
      <c r="H37" s="97"/>
      <c r="J37" s="127" t="s">
        <v>31</v>
      </c>
      <c r="K37" s="128"/>
      <c r="L37" s="128"/>
      <c r="M37" s="129"/>
      <c r="N37" s="117">
        <v>287.01</v>
      </c>
    </row>
    <row r="38" spans="2:14" s="34" customFormat="1" ht="15.75" customHeight="1" x14ac:dyDescent="0.2">
      <c r="B38" s="142" t="s">
        <v>58</v>
      </c>
      <c r="C38" s="143"/>
      <c r="D38" s="143"/>
      <c r="E38" s="143"/>
      <c r="F38" s="143"/>
      <c r="G38" s="144"/>
      <c r="H38" s="97"/>
      <c r="J38" s="127" t="s">
        <v>32</v>
      </c>
      <c r="K38" s="128"/>
      <c r="L38" s="128"/>
      <c r="M38" s="129"/>
      <c r="N38" s="118">
        <v>0.74</v>
      </c>
    </row>
    <row r="39" spans="2:14" s="34" customFormat="1" ht="15.75" customHeight="1" x14ac:dyDescent="0.2">
      <c r="B39" s="142" t="s">
        <v>59</v>
      </c>
      <c r="C39" s="143"/>
      <c r="D39" s="143"/>
      <c r="E39" s="143"/>
      <c r="F39" s="143"/>
      <c r="G39" s="144"/>
      <c r="H39" s="97"/>
      <c r="J39" s="127" t="s">
        <v>33</v>
      </c>
      <c r="K39" s="128"/>
      <c r="L39" s="128"/>
      <c r="M39" s="129"/>
      <c r="N39" s="123">
        <v>0.67490000000000006</v>
      </c>
    </row>
    <row r="40" spans="2:14" s="34" customFormat="1" ht="15.75" thickBot="1" x14ac:dyDescent="0.25">
      <c r="B40" s="124" t="s">
        <v>60</v>
      </c>
      <c r="C40" s="125"/>
      <c r="D40" s="125"/>
      <c r="E40" s="125"/>
      <c r="F40" s="125"/>
      <c r="G40" s="126"/>
      <c r="H40" s="97"/>
      <c r="J40" s="127" t="s">
        <v>35</v>
      </c>
      <c r="K40" s="128"/>
      <c r="L40" s="128"/>
      <c r="M40" s="129"/>
      <c r="N40" s="117">
        <v>17.739999999999998</v>
      </c>
    </row>
    <row r="41" spans="2:14" s="34" customFormat="1" ht="15.75" x14ac:dyDescent="0.25">
      <c r="J41" s="130" t="s">
        <v>40</v>
      </c>
      <c r="K41" s="131"/>
      <c r="L41" s="131"/>
      <c r="M41" s="132"/>
      <c r="N41" s="117">
        <v>11859.81</v>
      </c>
    </row>
    <row r="42" spans="2:14" s="34" customFormat="1" ht="10.15" customHeight="1" x14ac:dyDescent="0.2">
      <c r="J42" s="85"/>
      <c r="L42" s="86"/>
    </row>
    <row r="43" spans="2:14" s="34" customFormat="1" ht="10.15" customHeight="1" x14ac:dyDescent="0.2">
      <c r="B43" s="133" t="s">
        <v>64</v>
      </c>
      <c r="C43" s="134"/>
      <c r="D43" s="134"/>
      <c r="E43" s="134"/>
      <c r="F43" s="134"/>
      <c r="G43" s="134"/>
      <c r="H43" s="134"/>
      <c r="I43" s="134"/>
      <c r="J43" s="134"/>
      <c r="K43" s="134"/>
      <c r="L43" s="134"/>
      <c r="M43" s="134"/>
      <c r="N43" s="135"/>
    </row>
    <row r="44" spans="2:14" s="34" customFormat="1" ht="10.15" customHeight="1" x14ac:dyDescent="0.2">
      <c r="B44" s="136"/>
      <c r="C44" s="137"/>
      <c r="D44" s="137"/>
      <c r="E44" s="137"/>
      <c r="F44" s="137"/>
      <c r="G44" s="137"/>
      <c r="H44" s="137"/>
      <c r="I44" s="137"/>
      <c r="J44" s="137"/>
      <c r="K44" s="137"/>
      <c r="L44" s="137"/>
      <c r="M44" s="137"/>
      <c r="N44" s="138"/>
    </row>
    <row r="45" spans="2:14" s="34" customFormat="1" ht="10.15" customHeight="1" x14ac:dyDescent="0.2">
      <c r="B45" s="136"/>
      <c r="C45" s="137"/>
      <c r="D45" s="137"/>
      <c r="E45" s="137"/>
      <c r="F45" s="137"/>
      <c r="G45" s="137"/>
      <c r="H45" s="137"/>
      <c r="I45" s="137"/>
      <c r="J45" s="137"/>
      <c r="K45" s="137"/>
      <c r="L45" s="137"/>
      <c r="M45" s="137"/>
      <c r="N45" s="138"/>
    </row>
    <row r="46" spans="2:14" s="34" customFormat="1" ht="10.15" customHeight="1" x14ac:dyDescent="0.2">
      <c r="B46" s="136"/>
      <c r="C46" s="137"/>
      <c r="D46" s="137"/>
      <c r="E46" s="137"/>
      <c r="F46" s="137"/>
      <c r="G46" s="137"/>
      <c r="H46" s="137"/>
      <c r="I46" s="137"/>
      <c r="J46" s="137"/>
      <c r="K46" s="137"/>
      <c r="L46" s="137"/>
      <c r="M46" s="137"/>
      <c r="N46" s="138"/>
    </row>
    <row r="47" spans="2:14" s="34" customFormat="1" ht="10.15" customHeight="1" x14ac:dyDescent="0.2">
      <c r="B47" s="136"/>
      <c r="C47" s="137"/>
      <c r="D47" s="137"/>
      <c r="E47" s="137"/>
      <c r="F47" s="137"/>
      <c r="G47" s="137"/>
      <c r="H47" s="137"/>
      <c r="I47" s="137"/>
      <c r="J47" s="137"/>
      <c r="K47" s="137"/>
      <c r="L47" s="137"/>
      <c r="M47" s="137"/>
      <c r="N47" s="138"/>
    </row>
    <row r="48" spans="2:14" s="34" customFormat="1" ht="10.15" customHeight="1" x14ac:dyDescent="0.2">
      <c r="B48" s="136"/>
      <c r="C48" s="137"/>
      <c r="D48" s="137"/>
      <c r="E48" s="137"/>
      <c r="F48" s="137"/>
      <c r="G48" s="137"/>
      <c r="H48" s="137"/>
      <c r="I48" s="137"/>
      <c r="J48" s="137"/>
      <c r="K48" s="137"/>
      <c r="L48" s="137"/>
      <c r="M48" s="137"/>
      <c r="N48" s="138"/>
    </row>
    <row r="49" spans="2:14" s="34" customFormat="1" ht="10.15" customHeight="1" x14ac:dyDescent="0.2">
      <c r="B49" s="139"/>
      <c r="C49" s="140"/>
      <c r="D49" s="140"/>
      <c r="E49" s="140"/>
      <c r="F49" s="140"/>
      <c r="G49" s="140"/>
      <c r="H49" s="140"/>
      <c r="I49" s="140"/>
      <c r="J49" s="140"/>
      <c r="K49" s="140"/>
      <c r="L49" s="140"/>
      <c r="M49" s="140"/>
      <c r="N49" s="141"/>
    </row>
  </sheetData>
  <mergeCells count="44">
    <mergeCell ref="B1:N1"/>
    <mergeCell ref="B2:N2"/>
    <mergeCell ref="B5:C5"/>
    <mergeCell ref="D5:G5"/>
    <mergeCell ref="K5:L5"/>
    <mergeCell ref="M5:N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36:G36"/>
    <mergeCell ref="J36:M36"/>
    <mergeCell ref="C30:D30"/>
    <mergeCell ref="E30:F30"/>
    <mergeCell ref="J30:M30"/>
    <mergeCell ref="C31:D31"/>
    <mergeCell ref="E31:F31"/>
    <mergeCell ref="J31:M31"/>
    <mergeCell ref="C32:D32"/>
    <mergeCell ref="E32:F32"/>
    <mergeCell ref="J32:M32"/>
    <mergeCell ref="B35:G35"/>
    <mergeCell ref="J35:N35"/>
    <mergeCell ref="B40:G40"/>
    <mergeCell ref="J40:M40"/>
    <mergeCell ref="J41:M41"/>
    <mergeCell ref="B43:N49"/>
    <mergeCell ref="B37:G37"/>
    <mergeCell ref="J37:M37"/>
    <mergeCell ref="B38:G38"/>
    <mergeCell ref="J38:M38"/>
    <mergeCell ref="B39:G39"/>
    <mergeCell ref="J39:M39"/>
  </mergeCells>
  <pageMargins left="0.7" right="0.7" top="0.75" bottom="0.75" header="0.3" footer="0.3"/>
  <pageSetup scale="6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O34"/>
  <sheetViews>
    <sheetView workbookViewId="0">
      <selection activeCell="I15" sqref="I15:J15"/>
    </sheetView>
  </sheetViews>
  <sheetFormatPr defaultRowHeight="15" x14ac:dyDescent="0.25"/>
  <cols>
    <col min="1" max="1" width="3.140625" customWidth="1"/>
    <col min="2" max="2" width="31.140625" style="16" customWidth="1"/>
    <col min="3" max="3" width="15.7109375" style="31" customWidth="1"/>
    <col min="4" max="4" width="12.85546875" style="31" customWidth="1"/>
    <col min="5" max="5" width="12.7109375" style="31" bestFit="1" customWidth="1"/>
    <col min="6" max="6" width="13.5703125" style="31" customWidth="1"/>
    <col min="7" max="7" width="15.85546875" style="31" customWidth="1"/>
    <col min="8" max="8" width="14.85546875" style="16" customWidth="1"/>
    <col min="9" max="9" width="9.140625" style="16"/>
    <col min="10" max="10" width="19.85546875" customWidth="1"/>
    <col min="11" max="11" width="19.7109375" bestFit="1" customWidth="1"/>
  </cols>
  <sheetData>
    <row r="1" spans="2:15" ht="18" x14ac:dyDescent="0.25">
      <c r="B1" s="172" t="s">
        <v>53</v>
      </c>
      <c r="C1" s="172"/>
      <c r="D1" s="172"/>
      <c r="E1" s="172"/>
      <c r="F1" s="172"/>
      <c r="G1" s="172"/>
      <c r="H1" s="172"/>
      <c r="I1" s="172"/>
      <c r="J1" s="12"/>
      <c r="K1" s="12"/>
      <c r="L1" s="12"/>
      <c r="M1" s="12"/>
      <c r="N1" s="12"/>
      <c r="O1" s="12"/>
    </row>
    <row r="2" spans="2:15" ht="18" x14ac:dyDescent="0.25">
      <c r="B2" s="194" t="s">
        <v>42</v>
      </c>
      <c r="C2" s="194"/>
      <c r="D2" s="194"/>
      <c r="E2" s="194"/>
      <c r="F2" s="194"/>
      <c r="G2" s="194"/>
      <c r="H2" s="194"/>
      <c r="I2" s="194"/>
    </row>
    <row r="3" spans="2:15" ht="18" x14ac:dyDescent="0.25">
      <c r="B3" s="20"/>
      <c r="C3" s="20"/>
      <c r="D3" s="20"/>
      <c r="E3" s="20"/>
      <c r="F3" s="20"/>
      <c r="G3" s="20"/>
      <c r="H3" s="20"/>
      <c r="I3" s="20"/>
    </row>
    <row r="4" spans="2:15" ht="18" x14ac:dyDescent="0.25">
      <c r="B4" s="21"/>
      <c r="C4" s="20" t="s">
        <v>43</v>
      </c>
      <c r="D4" s="6">
        <v>46023</v>
      </c>
      <c r="E4" s="194" t="s">
        <v>1</v>
      </c>
      <c r="F4" s="194"/>
      <c r="G4" s="6">
        <v>46387</v>
      </c>
      <c r="H4" s="21"/>
      <c r="I4" s="12"/>
    </row>
    <row r="5" spans="2:15" ht="18" x14ac:dyDescent="0.25">
      <c r="B5" s="8"/>
      <c r="C5" s="22"/>
      <c r="D5" s="22"/>
      <c r="E5" s="22"/>
      <c r="F5" s="23"/>
      <c r="G5" s="23"/>
      <c r="H5" s="12"/>
      <c r="I5" s="21"/>
    </row>
    <row r="6" spans="2:15" ht="18" x14ac:dyDescent="0.25">
      <c r="B6" s="5" t="s">
        <v>2</v>
      </c>
      <c r="C6" s="23" t="s">
        <v>54</v>
      </c>
      <c r="D6" s="24"/>
      <c r="E6" s="24"/>
      <c r="F6" s="25"/>
      <c r="G6" s="26" t="s">
        <v>4</v>
      </c>
      <c r="H6" s="172" t="s">
        <v>44</v>
      </c>
      <c r="I6" s="172"/>
    </row>
    <row r="7" spans="2:15" ht="18.75" thickBot="1" x14ac:dyDescent="0.3">
      <c r="B7" s="5"/>
      <c r="C7" s="23"/>
      <c r="D7" s="24"/>
      <c r="E7" s="24"/>
      <c r="F7" s="25"/>
      <c r="G7" s="26"/>
      <c r="H7" s="12"/>
      <c r="I7" s="12"/>
    </row>
    <row r="8" spans="2:15" s="98" customFormat="1" ht="16.5" thickBot="1" x14ac:dyDescent="0.3">
      <c r="B8" s="195" t="s">
        <v>45</v>
      </c>
      <c r="C8" s="197" t="s">
        <v>46</v>
      </c>
      <c r="D8" s="199" t="s">
        <v>47</v>
      </c>
      <c r="E8" s="200"/>
      <c r="F8" s="201"/>
      <c r="G8" s="202" t="s">
        <v>62</v>
      </c>
      <c r="H8" s="202" t="s">
        <v>48</v>
      </c>
      <c r="I8" s="204" t="s">
        <v>65</v>
      </c>
      <c r="J8" s="205"/>
    </row>
    <row r="9" spans="2:15" s="98" customFormat="1" ht="29.25" customHeight="1" thickBot="1" x14ac:dyDescent="0.3">
      <c r="B9" s="196"/>
      <c r="C9" s="198"/>
      <c r="D9" s="99" t="s">
        <v>27</v>
      </c>
      <c r="E9" s="100" t="s">
        <v>49</v>
      </c>
      <c r="F9" s="100" t="s">
        <v>16</v>
      </c>
      <c r="G9" s="203"/>
      <c r="H9" s="203"/>
      <c r="I9" s="206"/>
      <c r="J9" s="207"/>
    </row>
    <row r="10" spans="2:15" s="98" customFormat="1" ht="30.75" customHeight="1" x14ac:dyDescent="0.25">
      <c r="B10" s="101" t="s">
        <v>50</v>
      </c>
      <c r="C10" s="102"/>
      <c r="D10" s="102"/>
      <c r="E10" s="102"/>
      <c r="F10" s="102"/>
      <c r="G10" s="102"/>
      <c r="H10" s="119">
        <v>79478.289999999994</v>
      </c>
      <c r="I10" s="192"/>
      <c r="J10" s="193"/>
    </row>
    <row r="11" spans="2:15" s="98" customFormat="1" ht="15.75" x14ac:dyDescent="0.25">
      <c r="B11" s="62">
        <f>Standard!B12</f>
        <v>46023</v>
      </c>
      <c r="C11" s="103">
        <v>6439.77</v>
      </c>
      <c r="D11" s="103">
        <f>Standard!K12</f>
        <v>0</v>
      </c>
      <c r="E11" s="103">
        <f>Standard!H12</f>
        <v>1388.6</v>
      </c>
      <c r="F11" s="103">
        <f>D11+E11</f>
        <v>1388.6</v>
      </c>
      <c r="G11" s="103"/>
      <c r="H11" s="115">
        <f>C11-F11</f>
        <v>5051.17</v>
      </c>
      <c r="I11" s="190"/>
      <c r="J11" s="191"/>
    </row>
    <row r="12" spans="2:15" s="98" customFormat="1" ht="15.75" x14ac:dyDescent="0.25">
      <c r="B12" s="62">
        <f>Standard!B13</f>
        <v>46054</v>
      </c>
      <c r="C12" s="103"/>
      <c r="D12" s="103">
        <f>Standard!K13</f>
        <v>2335</v>
      </c>
      <c r="E12" s="103">
        <f>Standard!H13</f>
        <v>1362.3999999999999</v>
      </c>
      <c r="F12" s="103">
        <f>D12+E12</f>
        <v>3697.3999999999996</v>
      </c>
      <c r="G12" s="116"/>
      <c r="H12" s="115">
        <f>C12-F12</f>
        <v>-3697.3999999999996</v>
      </c>
      <c r="I12" s="190"/>
      <c r="J12" s="191"/>
    </row>
    <row r="13" spans="2:15" s="98" customFormat="1" ht="15.75" x14ac:dyDescent="0.25">
      <c r="B13" s="62">
        <f>Standard!B14</f>
        <v>46082</v>
      </c>
      <c r="C13" s="103">
        <v>500</v>
      </c>
      <c r="D13" s="103">
        <f>Standard!K14</f>
        <v>2345.9</v>
      </c>
      <c r="E13" s="103">
        <f>Standard!H14</f>
        <v>1355.85</v>
      </c>
      <c r="F13" s="103">
        <f>D13+E13</f>
        <v>3701.75</v>
      </c>
      <c r="G13" s="116"/>
      <c r="H13" s="115">
        <f>C13-F13</f>
        <v>-3201.75</v>
      </c>
      <c r="I13" s="190"/>
      <c r="J13" s="191"/>
    </row>
    <row r="14" spans="2:15" s="98" customFormat="1" ht="15.75" x14ac:dyDescent="0.25">
      <c r="B14" s="62">
        <f>Standard!B15</f>
        <v>46113</v>
      </c>
      <c r="C14" s="103"/>
      <c r="D14" s="103"/>
      <c r="E14" s="103"/>
      <c r="F14" s="103"/>
      <c r="G14" s="116"/>
      <c r="H14" s="115"/>
      <c r="I14" s="190"/>
      <c r="J14" s="191"/>
    </row>
    <row r="15" spans="2:15" s="98" customFormat="1" ht="15.75" x14ac:dyDescent="0.25">
      <c r="B15" s="62">
        <f>Standard!B16</f>
        <v>46143</v>
      </c>
      <c r="C15" s="103"/>
      <c r="D15" s="103"/>
      <c r="E15" s="103"/>
      <c r="F15" s="103"/>
      <c r="G15" s="116"/>
      <c r="H15" s="115"/>
      <c r="I15" s="190"/>
      <c r="J15" s="191"/>
    </row>
    <row r="16" spans="2:15" s="98" customFormat="1" ht="15.75" x14ac:dyDescent="0.25">
      <c r="B16" s="62">
        <f>Standard!B17</f>
        <v>46174</v>
      </c>
      <c r="C16" s="103"/>
      <c r="D16" s="103"/>
      <c r="E16" s="103"/>
      <c r="F16" s="103"/>
      <c r="G16" s="116"/>
      <c r="H16" s="115"/>
      <c r="I16" s="190"/>
      <c r="J16" s="191"/>
    </row>
    <row r="17" spans="2:10" s="98" customFormat="1" ht="15.75" x14ac:dyDescent="0.25">
      <c r="B17" s="62">
        <f>Standard!B18</f>
        <v>46204</v>
      </c>
      <c r="C17" s="103"/>
      <c r="D17" s="103"/>
      <c r="E17" s="103"/>
      <c r="F17" s="103"/>
      <c r="G17" s="116"/>
      <c r="H17" s="115"/>
      <c r="I17" s="190"/>
      <c r="J17" s="191"/>
    </row>
    <row r="18" spans="2:10" s="98" customFormat="1" ht="15.75" x14ac:dyDescent="0.25">
      <c r="B18" s="62">
        <f>Standard!B19</f>
        <v>46235</v>
      </c>
      <c r="C18" s="103"/>
      <c r="D18" s="103"/>
      <c r="E18" s="103"/>
      <c r="F18" s="103"/>
      <c r="G18" s="116"/>
      <c r="H18" s="115"/>
      <c r="I18" s="190"/>
      <c r="J18" s="178"/>
    </row>
    <row r="19" spans="2:10" s="98" customFormat="1" ht="15.75" x14ac:dyDescent="0.25">
      <c r="B19" s="62">
        <f>Standard!B20</f>
        <v>46266</v>
      </c>
      <c r="C19" s="103"/>
      <c r="D19" s="103"/>
      <c r="E19" s="103"/>
      <c r="F19" s="103"/>
      <c r="G19" s="116"/>
      <c r="H19" s="115"/>
      <c r="I19" s="190"/>
      <c r="J19" s="191"/>
    </row>
    <row r="20" spans="2:10" s="98" customFormat="1" ht="15.75" x14ac:dyDescent="0.25">
      <c r="B20" s="62">
        <f>Standard!B21</f>
        <v>46296</v>
      </c>
      <c r="C20" s="103"/>
      <c r="D20" s="103"/>
      <c r="E20" s="103"/>
      <c r="F20" s="103"/>
      <c r="G20" s="116"/>
      <c r="H20" s="115"/>
      <c r="I20" s="190"/>
      <c r="J20" s="191"/>
    </row>
    <row r="21" spans="2:10" s="98" customFormat="1" ht="15.75" x14ac:dyDescent="0.25">
      <c r="B21" s="62">
        <f>Standard!B22</f>
        <v>46327</v>
      </c>
      <c r="C21" s="103"/>
      <c r="D21" s="103"/>
      <c r="E21" s="103"/>
      <c r="F21" s="103"/>
      <c r="G21" s="116"/>
      <c r="H21" s="115"/>
      <c r="I21" s="190"/>
      <c r="J21" s="191"/>
    </row>
    <row r="22" spans="2:10" s="98" customFormat="1" ht="15.75" x14ac:dyDescent="0.25">
      <c r="B22" s="62">
        <f>Standard!B23</f>
        <v>46357</v>
      </c>
      <c r="C22" s="103"/>
      <c r="D22" s="103"/>
      <c r="E22" s="103"/>
      <c r="F22" s="121"/>
      <c r="G22" s="116"/>
      <c r="H22" s="122"/>
      <c r="I22" s="177"/>
      <c r="J22" s="178"/>
    </row>
    <row r="23" spans="2:10" s="98" customFormat="1" ht="16.5" thickBot="1" x14ac:dyDescent="0.3">
      <c r="B23" s="104"/>
      <c r="C23" s="105"/>
      <c r="D23" s="105"/>
      <c r="E23" s="105"/>
      <c r="F23" s="105"/>
      <c r="G23" s="105"/>
      <c r="H23" s="106"/>
      <c r="I23" s="179"/>
      <c r="J23" s="180"/>
    </row>
    <row r="24" spans="2:10" s="98" customFormat="1" ht="16.5" thickBot="1" x14ac:dyDescent="0.3">
      <c r="B24" s="107" t="s">
        <v>16</v>
      </c>
      <c r="C24" s="108">
        <f>SUM(C11:C22)</f>
        <v>6939.77</v>
      </c>
      <c r="D24" s="108">
        <f>SUM(D11:D22)</f>
        <v>4680.8999999999996</v>
      </c>
      <c r="E24" s="108">
        <f>SUM(E11:E22)</f>
        <v>4106.8500000000004</v>
      </c>
      <c r="F24" s="108">
        <f>SUM(F11:F22)</f>
        <v>8787.75</v>
      </c>
      <c r="G24" s="108">
        <f>SUM(G10:G22)</f>
        <v>0</v>
      </c>
      <c r="H24" s="108">
        <f>SUM(H10:H22)</f>
        <v>77630.31</v>
      </c>
      <c r="I24" s="181"/>
      <c r="J24" s="182"/>
    </row>
    <row r="25" spans="2:10" s="98" customFormat="1" ht="15.75" x14ac:dyDescent="0.25">
      <c r="B25" s="34"/>
      <c r="C25" s="109"/>
      <c r="D25" s="109"/>
      <c r="E25" s="109"/>
      <c r="F25" s="109"/>
      <c r="G25" s="109"/>
      <c r="H25" s="34"/>
      <c r="I25" s="34"/>
    </row>
    <row r="26" spans="2:10" s="98" customFormat="1" ht="16.5" thickBot="1" x14ac:dyDescent="0.3">
      <c r="B26" s="183"/>
      <c r="C26" s="183"/>
      <c r="D26" s="183"/>
      <c r="E26" s="183"/>
      <c r="F26" s="183"/>
      <c r="G26" s="183"/>
      <c r="H26" s="183"/>
      <c r="I26" s="34"/>
    </row>
    <row r="27" spans="2:10" s="98" customFormat="1" ht="15" customHeight="1" x14ac:dyDescent="0.25">
      <c r="B27" s="184" t="s">
        <v>63</v>
      </c>
      <c r="C27" s="185"/>
      <c r="D27" s="185"/>
      <c r="E27" s="185"/>
      <c r="F27" s="185"/>
      <c r="G27" s="185"/>
      <c r="H27" s="185"/>
      <c r="I27" s="186"/>
    </row>
    <row r="28" spans="2:10" s="98" customFormat="1" ht="15" customHeight="1" x14ac:dyDescent="0.25">
      <c r="B28" s="187" t="s">
        <v>51</v>
      </c>
      <c r="C28" s="188"/>
      <c r="D28" s="188"/>
      <c r="E28" s="188"/>
      <c r="F28" s="188"/>
      <c r="G28" s="188"/>
      <c r="H28" s="188"/>
      <c r="I28" s="189"/>
    </row>
    <row r="29" spans="2:10" s="98" customFormat="1" ht="21" customHeight="1" thickBot="1" x14ac:dyDescent="0.3">
      <c r="B29" s="174" t="s">
        <v>52</v>
      </c>
      <c r="C29" s="175"/>
      <c r="D29" s="175"/>
      <c r="E29" s="175"/>
      <c r="F29" s="175"/>
      <c r="G29" s="175"/>
      <c r="H29" s="175"/>
      <c r="I29" s="176"/>
    </row>
    <row r="30" spans="2:10" x14ac:dyDescent="0.25">
      <c r="B30" s="27"/>
      <c r="C30" s="28"/>
      <c r="D30" s="28"/>
      <c r="E30" s="28"/>
      <c r="F30" s="28"/>
      <c r="G30" s="28"/>
      <c r="H30" s="27"/>
      <c r="I30" s="27"/>
    </row>
    <row r="31" spans="2:10" x14ac:dyDescent="0.25">
      <c r="B31" s="27"/>
      <c r="C31" s="28"/>
      <c r="D31" s="28"/>
      <c r="E31" s="28"/>
      <c r="F31" s="28"/>
      <c r="G31" s="28"/>
      <c r="H31" s="27"/>
      <c r="I31" s="27"/>
    </row>
    <row r="32" spans="2:10" x14ac:dyDescent="0.25">
      <c r="B32" s="29"/>
      <c r="C32" s="30"/>
      <c r="D32" s="30"/>
      <c r="E32" s="30"/>
      <c r="F32" s="30"/>
      <c r="G32" s="30"/>
      <c r="H32" s="29"/>
      <c r="I32" s="29"/>
    </row>
    <row r="33" spans="2:9" x14ac:dyDescent="0.25">
      <c r="B33" s="29"/>
      <c r="C33" s="30"/>
      <c r="D33" s="30"/>
      <c r="E33" s="30"/>
      <c r="F33" s="30"/>
      <c r="G33" s="30"/>
      <c r="H33" s="29"/>
      <c r="I33" s="29"/>
    </row>
    <row r="34" spans="2:9" x14ac:dyDescent="0.25">
      <c r="B34" s="29"/>
      <c r="C34" s="30"/>
      <c r="D34" s="30"/>
      <c r="E34" s="30"/>
      <c r="F34" s="30"/>
      <c r="G34" s="30"/>
      <c r="H34" s="29"/>
      <c r="I34" s="29"/>
    </row>
  </sheetData>
  <mergeCells count="29">
    <mergeCell ref="B1:I1"/>
    <mergeCell ref="B2:I2"/>
    <mergeCell ref="E4:F4"/>
    <mergeCell ref="H6:I6"/>
    <mergeCell ref="B8:B9"/>
    <mergeCell ref="C8:C9"/>
    <mergeCell ref="D8:F8"/>
    <mergeCell ref="G8:G9"/>
    <mergeCell ref="H8:H9"/>
    <mergeCell ref="I8:J9"/>
    <mergeCell ref="I21:J21"/>
    <mergeCell ref="I10:J10"/>
    <mergeCell ref="I11:J11"/>
    <mergeCell ref="I12:J12"/>
    <mergeCell ref="I13:J13"/>
    <mergeCell ref="I14:J14"/>
    <mergeCell ref="I15:J15"/>
    <mergeCell ref="I16:J16"/>
    <mergeCell ref="I17:J17"/>
    <mergeCell ref="I18:J18"/>
    <mergeCell ref="I19:J19"/>
    <mergeCell ref="I20:J20"/>
    <mergeCell ref="B29:I29"/>
    <mergeCell ref="I22:J22"/>
    <mergeCell ref="I23:J23"/>
    <mergeCell ref="I24:J24"/>
    <mergeCell ref="B26:H26"/>
    <mergeCell ref="B27:I27"/>
    <mergeCell ref="B28:I28"/>
  </mergeCells>
  <pageMargins left="0.7" right="0.7" top="0.75" bottom="0.75" header="0.3" footer="0.3"/>
  <pageSetup scale="8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Standard</vt:lpstr>
      <vt:lpstr>Plan Acct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2026-07-01T15:56:56Z</cp:lastPrinted>
  <dcterms:created xsi:type="dcterms:W3CDTF">2010-01-16T14:52:12Z</dcterms:created>
  <dcterms:modified xsi:type="dcterms:W3CDTF">2026-07-01T15:57:15Z</dcterms:modified>
</cp:coreProperties>
</file>