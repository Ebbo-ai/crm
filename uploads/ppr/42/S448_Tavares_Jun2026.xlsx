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C65D1502-1E02-4C11-BBED-98AE923C352B}" xr6:coauthVersionLast="47" xr6:coauthVersionMax="47" xr10:uidLastSave="{00000000-0000-0000-0000-000000000000}"/>
  <bookViews>
    <workbookView xWindow="-105" yWindow="0" windowWidth="26010" windowHeight="20985" xr2:uid="{00000000-000D-0000-FFFF-FFFF00000000}"/>
  </bookViews>
  <sheets>
    <sheet name="plan1" sheetId="1" r:id="rId1"/>
    <sheet name="Plan Acct"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1" l="1"/>
  <c r="N15" i="1"/>
  <c r="N13" i="1"/>
  <c r="N14" i="1"/>
  <c r="N12" i="1"/>
  <c r="M13" i="1"/>
  <c r="M14" i="1"/>
  <c r="M17" i="1"/>
  <c r="M18" i="1"/>
  <c r="M19" i="1"/>
  <c r="M20" i="1"/>
  <c r="M21" i="1"/>
  <c r="M22" i="1"/>
  <c r="M23" i="1"/>
  <c r="M12" i="1"/>
  <c r="D13" i="1"/>
  <c r="I13" i="1" s="1"/>
  <c r="I12" i="1"/>
  <c r="D12" i="1"/>
  <c r="E11" i="2"/>
  <c r="F11" i="2"/>
  <c r="C12" i="2"/>
  <c r="C13" i="2"/>
  <c r="C14" i="2"/>
  <c r="C15" i="2"/>
  <c r="C16" i="2"/>
  <c r="C17" i="2"/>
  <c r="C18" i="2"/>
  <c r="C19" i="2"/>
  <c r="C20" i="2"/>
  <c r="C21" i="2"/>
  <c r="C22" i="2"/>
  <c r="C11" i="2"/>
  <c r="H4" i="2"/>
  <c r="E4" i="2"/>
  <c r="F24" i="2"/>
  <c r="D24" i="2"/>
  <c r="G22" i="2"/>
  <c r="H22" i="2" s="1"/>
  <c r="J6" i="2"/>
  <c r="D6" i="2"/>
  <c r="C1" i="2"/>
  <c r="N23" i="1"/>
  <c r="G13" i="1"/>
  <c r="G14" i="1"/>
  <c r="G15" i="1"/>
  <c r="G16" i="1"/>
  <c r="G17" i="1"/>
  <c r="G18" i="1"/>
  <c r="G19" i="1"/>
  <c r="G20" i="1"/>
  <c r="G21" i="1"/>
  <c r="G22" i="1"/>
  <c r="G23" i="1"/>
  <c r="B30" i="1"/>
  <c r="D25" i="1"/>
  <c r="E25" i="1"/>
  <c r="G12" i="1"/>
  <c r="I14" i="1"/>
  <c r="I15" i="1"/>
  <c r="M15" i="1" s="1"/>
  <c r="I16" i="1"/>
  <c r="M16" i="1" s="1"/>
  <c r="I17" i="1"/>
  <c r="I18" i="1"/>
  <c r="I19" i="1"/>
  <c r="I20" i="1"/>
  <c r="I21" i="1"/>
  <c r="I22" i="1"/>
  <c r="I23" i="1"/>
  <c r="C25" i="1"/>
  <c r="F25" i="1"/>
  <c r="J25" i="1"/>
  <c r="K25" i="1"/>
  <c r="L25" i="1"/>
  <c r="G29" i="1"/>
  <c r="G30" i="1"/>
  <c r="G32" i="1"/>
  <c r="G11" i="2" l="1"/>
  <c r="H11" i="2" s="1"/>
  <c r="H24" i="2" s="1"/>
  <c r="E24" i="2"/>
  <c r="G25" i="1"/>
  <c r="N32" i="1" s="1"/>
  <c r="H25" i="1"/>
  <c r="I25" i="1"/>
  <c r="N25" i="1" s="1"/>
  <c r="N29" i="1"/>
  <c r="N31" i="1"/>
  <c r="N28" i="1"/>
  <c r="G24" i="2" l="1"/>
  <c r="N30" i="1"/>
  <c r="M25" i="1"/>
</calcChain>
</file>

<file path=xl/sharedStrings.xml><?xml version="1.0" encoding="utf-8"?>
<sst xmlns="http://schemas.openxmlformats.org/spreadsheetml/2006/main" count="77" uniqueCount="66">
  <si>
    <t>Plan Year:</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</si>
  <si>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</si>
  <si>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</si>
  <si>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</si>
  <si>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</si>
  <si>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</si>
  <si>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</si>
  <si>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</si>
  <si>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</si>
  <si>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</si>
  <si>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</si>
  <si>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</si>
  <si>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</si>
  <si>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</si>
  <si>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</si>
  <si>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</si>
  <si>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</si>
  <si>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</si>
  <si>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</si>
  <si>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</si>
  <si>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</si>
  <si>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</si>
  <si>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</si>
  <si>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</si>
  <si>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</si>
  <si>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</si>
  <si>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</si>
  <si>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</si>
  <si>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</si>
  <si>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</si>
  <si>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</si>
  <si>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</si>
  <si>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</si>
  <si>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</si>
  <si>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</si>
  <si>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</si>
  <si>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</si>
  <si>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</si>
  <si>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</si>
  <si>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Dental</t>
  </si>
  <si>
    <t>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</si>
  <si>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</si>
  <si>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thru</t>
  </si>
  <si>
    <t>Tavares Concrete Company Inc.</t>
  </si>
  <si>
    <t>S448</t>
  </si>
  <si>
    <t>S448DEN</t>
  </si>
  <si>
    <t>100% of the first $180; $50 Deductible</t>
  </si>
  <si>
    <t xml:space="preserve">Ortho covered for Adults and Children </t>
  </si>
  <si>
    <t>Annual Maximum Amount $1,500</t>
  </si>
  <si>
    <t>80% of the next $150; 50% of the next $1,400</t>
  </si>
  <si>
    <t>EE+1</t>
  </si>
  <si>
    <t>Dental or Vision Plan Year Accounting</t>
  </si>
  <si>
    <t xml:space="preserve">Plan Year: </t>
  </si>
  <si>
    <t>through</t>
  </si>
  <si>
    <t>Month</t>
  </si>
  <si>
    <t>Deposit</t>
  </si>
  <si>
    <t xml:space="preserve">Plan Expenses </t>
  </si>
  <si>
    <t>Account Balance</t>
  </si>
  <si>
    <t>NOTES</t>
  </si>
  <si>
    <t>Admin</t>
  </si>
  <si>
    <t>No Pay Premium</t>
  </si>
  <si>
    <t>Prior Plan Year Ending  Balance</t>
  </si>
  <si>
    <r>
      <rPr>
        <b/>
        <sz val="11"/>
        <rFont val="Arial"/>
        <family val="2"/>
      </rPr>
      <t>Note:</t>
    </r>
    <r>
      <rPr>
        <sz val="11"/>
        <rFont val="Arial"/>
        <family val="2"/>
      </rPr>
      <t xml:space="preserve"> The above figures do not include claim adjustments.</t>
    </r>
  </si>
  <si>
    <t>* Pending claims include claims processed and not yet released for reimbursement due to low account balance.</t>
  </si>
  <si>
    <t>* Claims may also be pending if funding was received and posted after the final check run for the month.</t>
  </si>
  <si>
    <t>Admin Cost is a monthly flat rate of $152.00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</si>
</sst>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 numFmtId="168" formatCode="mm/dd/yy;@"/>
  </numFmts>
  <fonts count="23"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sz val="12"/>
      <color theme="0"/>
      <name val="Arial"/>
      <family val="2"/>
    </font>
    <font>
      <b/>
      <sz val="11"/>
      <color theme="1"/>
      <name val="Aptos"/>
      <family val="2"/>
    </font>
    <font>
      <b/>
      <sz val="12"/>
      <color rgb="FFFF0000"/>
      <name val="Arial"/>
      <family val="2"/>
    </font>
    <font>
      <sz val="12"/>
      <color rgb="FFFF0000"/>
      <name val="Arial"/>
      <family val="2"/>
    </font>
    <font>
      <b/>
      <sz val="11"/>
      <name val="Arial"/>
      <family val="2"/>
    </font>
    <font>
      <b/>
      <sz val="10"/>
      <name val="Arial"/>
      <family val="2"/>
    </font>
    <font>
      <sz val="11"/>
      <color theme="0"/>
      <name val="Arial"/>
      <family val="2"/>
    </font>
    <font>
      <b/>
      <sz val="12"/>
      <color theme="0"/>
      <name val="Arial"/>
      <family val="2"/>
    </font>
  </fonts>
  <fills count="2">
    <fill>
      <patternFill patternType="none"/>
    </fill>
    <fill>
      <patternFill patternType="gray125"/>
    </fill>
  </fills>
  <borders count="4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s>
  <cellStyleXfs count="7">
    <xf numFmtId="0" fontId="0" fillId="0" borderId="0"/>
    <xf numFmtId="43" fontId="11" fillId="0" borderId="0" applyFont="0" applyFill="0" applyBorder="0" applyAlignment="0" applyProtection="0"/>
    <xf numFmtId="43" fontId="1" fillId="0" borderId="0" applyFont="0" applyFill="0" applyBorder="0" applyAlignment="0" applyProtection="0"/>
    <xf numFmtId="44" fontId="11" fillId="0" borderId="0" applyFont="0" applyFill="0" applyBorder="0" applyAlignment="0" applyProtection="0"/>
    <xf numFmtId="44"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cellStyleXfs>
  <cellXfs count="231">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applyProtection="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Border="1" applyAlignment="1" applyProtection="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pplyProtection="1">
      <alignment horizontal="right"/>
    </xf>
    <xf numFmtId="165" fontId="13" fillId="0" borderId="5" xfId="1" applyNumberFormat="1" applyFont="1" applyBorder="1" applyAlignment="1" applyProtection="1">
      <alignment horizontal="right"/>
    </xf>
    <xf numFmtId="44" fontId="13" fillId="0" borderId="11" xfId="3" applyFont="1" applyBorder="1" applyAlignment="1" applyProtection="1">
      <alignment horizontal="right"/>
    </xf>
    <xf numFmtId="44" fontId="13" fillId="0" borderId="6" xfId="3" applyFont="1" applyBorder="1" applyAlignment="1" applyProtection="1">
      <alignment horizontal="right"/>
    </xf>
    <xf numFmtId="44" fontId="13" fillId="0" borderId="4" xfId="3" applyFont="1" applyBorder="1" applyAlignment="1" applyProtection="1">
      <alignment horizontal="center"/>
    </xf>
    <xf numFmtId="44" fontId="13" fillId="0" borderId="4" xfId="3" applyFont="1" applyBorder="1" applyProtection="1"/>
    <xf numFmtId="165" fontId="13" fillId="0" borderId="5" xfId="1" applyNumberFormat="1" applyFont="1" applyBorder="1" applyAlignment="1" applyProtection="1">
      <alignment horizontal="center" wrapText="1"/>
    </xf>
    <xf numFmtId="44" fontId="13" fillId="0" borderId="6" xfId="3" applyFont="1" applyBorder="1" applyProtection="1"/>
    <xf numFmtId="10" fontId="13" fillId="0" borderId="5" xfId="5" applyNumberFormat="1" applyFont="1" applyBorder="1" applyProtection="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Border="1" applyAlignment="1" applyProtection="1">
      <alignment horizontal="right"/>
    </xf>
    <xf numFmtId="165" fontId="13" fillId="0" borderId="12" xfId="1" applyNumberFormat="1" applyFont="1" applyBorder="1" applyAlignment="1" applyProtection="1">
      <alignment horizontal="right"/>
    </xf>
    <xf numFmtId="44" fontId="13" fillId="0" borderId="3" xfId="3" applyFont="1" applyBorder="1" applyAlignment="1" applyProtection="1">
      <alignment horizontal="right"/>
    </xf>
    <xf numFmtId="44" fontId="13" fillId="0" borderId="2" xfId="3" applyFont="1" applyBorder="1" applyAlignment="1" applyProtection="1">
      <alignment horizontal="right"/>
    </xf>
    <xf numFmtId="44" fontId="13" fillId="0" borderId="0" xfId="3" applyFont="1" applyBorder="1" applyAlignment="1" applyProtection="1">
      <alignment horizontal="right"/>
    </xf>
    <xf numFmtId="10" fontId="13" fillId="0" borderId="12" xfId="5" applyNumberFormat="1" applyFont="1" applyBorder="1" applyAlignment="1" applyProtection="1">
      <alignment horizontal="right"/>
    </xf>
    <xf numFmtId="165" fontId="13" fillId="0" borderId="0" xfId="1" applyNumberFormat="1" applyFont="1" applyProtection="1"/>
    <xf numFmtId="17" fontId="13" fillId="0" borderId="7" xfId="0" applyNumberFormat="1" applyFont="1" applyBorder="1" applyAlignment="1">
      <alignment horizontal="right"/>
    </xf>
    <xf numFmtId="165" fontId="13" fillId="0" borderId="8" xfId="1" applyNumberFormat="1" applyFont="1" applyBorder="1" applyAlignment="1" applyProtection="1">
      <alignment horizontal="right"/>
    </xf>
    <xf numFmtId="165" fontId="13" fillId="0" borderId="10" xfId="1" applyNumberFormat="1" applyFont="1" applyBorder="1" applyAlignment="1" applyProtection="1">
      <alignment horizontal="right"/>
    </xf>
    <xf numFmtId="44" fontId="13" fillId="0" borderId="9" xfId="3" applyFont="1" applyBorder="1" applyAlignment="1" applyProtection="1">
      <alignment horizontal="right"/>
    </xf>
    <xf numFmtId="44" fontId="13" fillId="0" borderId="7" xfId="3" applyFont="1" applyBorder="1" applyAlignment="1" applyProtection="1">
      <alignment horizontal="right"/>
    </xf>
    <xf numFmtId="44" fontId="13" fillId="0" borderId="8" xfId="3" applyFont="1" applyBorder="1" applyAlignment="1" applyProtection="1">
      <alignment horizontal="center"/>
    </xf>
    <xf numFmtId="44" fontId="13" fillId="0" borderId="8" xfId="3" applyFont="1" applyBorder="1" applyProtection="1"/>
    <xf numFmtId="165" fontId="13" fillId="0" borderId="10" xfId="1" applyNumberFormat="1" applyFont="1" applyBorder="1" applyAlignment="1" applyProtection="1">
      <alignment horizontal="center" wrapText="1"/>
    </xf>
    <xf numFmtId="44" fontId="13" fillId="0" borderId="7" xfId="3" applyFont="1" applyBorder="1" applyProtection="1"/>
    <xf numFmtId="10" fontId="13" fillId="0" borderId="10" xfId="5" applyNumberFormat="1" applyFont="1" applyBorder="1" applyAlignment="1" applyProtection="1">
      <alignment horizontal="center"/>
    </xf>
    <xf numFmtId="0" fontId="12" fillId="0" borderId="13" xfId="0" applyFont="1" applyBorder="1" applyAlignment="1">
      <alignment horizontal="right"/>
    </xf>
    <xf numFmtId="165" fontId="12" fillId="0" borderId="14" xfId="1" applyNumberFormat="1" applyFont="1" applyBorder="1" applyAlignment="1" applyProtection="1">
      <alignment horizontal="right"/>
    </xf>
    <xf numFmtId="44" fontId="12" fillId="0" borderId="13" xfId="3" applyFont="1" applyBorder="1" applyProtection="1"/>
    <xf numFmtId="44" fontId="12" fillId="0" borderId="14" xfId="3" applyFont="1" applyBorder="1" applyProtection="1"/>
    <xf numFmtId="44" fontId="12" fillId="0" borderId="14" xfId="3" applyFont="1" applyBorder="1" applyAlignment="1" applyProtection="1">
      <alignment horizontal="right"/>
    </xf>
    <xf numFmtId="165" fontId="12" fillId="0" borderId="15" xfId="1" applyNumberFormat="1" applyFont="1" applyBorder="1" applyAlignment="1" applyProtection="1">
      <alignment horizontal="center" wrapText="1"/>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44" fontId="13" fillId="0" borderId="17" xfId="3" applyFont="1" applyBorder="1" applyProtection="1"/>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pplyProtection="1">
      <alignment horizontal="right"/>
    </xf>
    <xf numFmtId="43" fontId="13" fillId="0" borderId="17" xfId="1" applyFont="1" applyBorder="1" applyProtection="1"/>
    <xf numFmtId="10" fontId="13" fillId="0" borderId="17" xfId="0" applyNumberFormat="1" applyFont="1" applyBorder="1"/>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10" fontId="15" fillId="0" borderId="12" xfId="5" applyNumberFormat="1" applyFont="1" applyBorder="1" applyAlignment="1" applyProtection="1">
      <alignment horizontal="right"/>
    </xf>
    <xf numFmtId="44" fontId="18" fillId="0" borderId="17" xfId="3" applyFont="1" applyBorder="1" applyProtection="1"/>
    <xf numFmtId="43" fontId="18" fillId="0" borderId="17" xfId="1" applyFont="1" applyBorder="1" applyProtection="1"/>
    <xf numFmtId="10" fontId="18" fillId="0" borderId="17" xfId="0" applyNumberFormat="1" applyFont="1" applyBorder="1"/>
    <xf numFmtId="0" fontId="2" fillId="0" borderId="0" xfId="0" applyFont="1" applyAlignment="1">
      <alignment horizontal="centerContinuous"/>
    </xf>
    <xf numFmtId="0" fontId="2" fillId="0" borderId="0" xfId="0" applyFont="1" applyAlignment="1">
      <alignment horizontal="centerContinuous" wrapText="1"/>
    </xf>
    <xf numFmtId="167" fontId="4" fillId="0" borderId="0" xfId="0" applyNumberFormat="1" applyFont="1" applyAlignment="1">
      <alignment horizontal="centerContinuous"/>
    </xf>
    <xf numFmtId="167" fontId="4" fillId="0" borderId="0" xfId="0" applyNumberFormat="1" applyFont="1" applyAlignment="1">
      <alignment horizontal="centerContinuous" wrapText="1"/>
    </xf>
    <xf numFmtId="167" fontId="4" fillId="0" borderId="0" xfId="0" applyNumberFormat="1" applyFont="1" applyAlignment="1">
      <alignment horizontal="center"/>
    </xf>
    <xf numFmtId="167" fontId="4" fillId="0" borderId="0" xfId="0" applyNumberFormat="1" applyFont="1" applyAlignment="1">
      <alignment horizontal="center" wrapText="1"/>
    </xf>
    <xf numFmtId="0" fontId="3" fillId="0" borderId="0" xfId="0" applyFont="1" applyAlignment="1">
      <alignment horizontal="center"/>
    </xf>
    <xf numFmtId="168" fontId="2" fillId="0" borderId="0" xfId="0" applyNumberFormat="1" applyFont="1" applyAlignment="1">
      <alignment horizontal="center"/>
    </xf>
    <xf numFmtId="168" fontId="2" fillId="0" borderId="0" xfId="0" applyNumberFormat="1" applyFont="1" applyAlignment="1">
      <alignment horizontal="center" wrapText="1"/>
    </xf>
    <xf numFmtId="167" fontId="6" fillId="0" borderId="0" xfId="0" applyNumberFormat="1" applyFont="1" applyAlignment="1">
      <alignment horizontal="center"/>
    </xf>
    <xf numFmtId="167" fontId="2" fillId="0" borderId="0" xfId="0" applyNumberFormat="1" applyFont="1" applyAlignment="1">
      <alignment horizontal="center"/>
    </xf>
    <xf numFmtId="167" fontId="2" fillId="0" borderId="0" xfId="0" applyNumberFormat="1" applyFont="1" applyAlignment="1">
      <alignment horizontal="center" wrapText="1"/>
    </xf>
    <xf numFmtId="0" fontId="2" fillId="0" borderId="0" xfId="0" applyFont="1" applyAlignment="1">
      <alignment horizontal="center" wrapText="1"/>
    </xf>
    <xf numFmtId="167" fontId="2" fillId="0" borderId="0" xfId="0" applyNumberFormat="1" applyFont="1" applyAlignment="1">
      <alignment horizontal="left"/>
    </xf>
    <xf numFmtId="167" fontId="3" fillId="0" borderId="0" xfId="0" applyNumberFormat="1" applyFont="1"/>
    <xf numFmtId="167" fontId="4" fillId="0" borderId="0" xfId="0" applyNumberFormat="1" applyFont="1" applyAlignment="1">
      <alignment horizontal="right"/>
    </xf>
    <xf numFmtId="167" fontId="4" fillId="0" borderId="0" xfId="0" applyNumberFormat="1" applyFont="1" applyAlignment="1">
      <alignment horizontal="right" wrapText="1"/>
    </xf>
    <xf numFmtId="0" fontId="19" fillId="0" borderId="31" xfId="0" applyFont="1" applyBorder="1" applyAlignment="1">
      <alignment horizontal="centerContinuous"/>
    </xf>
    <xf numFmtId="167" fontId="19" fillId="0" borderId="32" xfId="0" applyNumberFormat="1" applyFont="1" applyBorder="1" applyAlignment="1">
      <alignment horizontal="centerContinuous"/>
    </xf>
    <xf numFmtId="167" fontId="20" fillId="0" borderId="33" xfId="0" applyNumberFormat="1" applyFont="1" applyBorder="1" applyAlignment="1">
      <alignment horizontal="centerContinuous"/>
    </xf>
    <xf numFmtId="167" fontId="10" fillId="0" borderId="14" xfId="0" applyNumberFormat="1" applyFont="1" applyBorder="1" applyAlignment="1">
      <alignment horizontal="centerContinuous"/>
    </xf>
    <xf numFmtId="167" fontId="10" fillId="0" borderId="34" xfId="0" applyNumberFormat="1" applyFont="1" applyBorder="1" applyAlignment="1">
      <alignment horizontal="centerContinuous"/>
    </xf>
    <xf numFmtId="0" fontId="19" fillId="0" borderId="5" xfId="0" applyFont="1" applyBorder="1" applyAlignment="1">
      <alignment horizontal="centerContinuous" wrapText="1"/>
    </xf>
    <xf numFmtId="0" fontId="19" fillId="0" borderId="35" xfId="0" applyFont="1" applyBorder="1" applyAlignment="1">
      <alignment horizontal="centerContinuous"/>
    </xf>
    <xf numFmtId="167" fontId="19" fillId="0" borderId="36" xfId="0" applyNumberFormat="1" applyFont="1" applyBorder="1" applyAlignment="1">
      <alignment horizontal="centerContinuous"/>
    </xf>
    <xf numFmtId="167" fontId="19" fillId="0" borderId="34" xfId="2" applyNumberFormat="1" applyFont="1" applyBorder="1" applyAlignment="1" applyProtection="1">
      <alignment horizontal="center"/>
    </xf>
    <xf numFmtId="167" fontId="19" fillId="0" borderId="37" xfId="0" applyNumberFormat="1" applyFont="1" applyBorder="1" applyAlignment="1">
      <alignment horizontal="center"/>
    </xf>
    <xf numFmtId="0" fontId="19" fillId="0" borderId="10" xfId="0" applyFont="1" applyBorder="1" applyAlignment="1">
      <alignment horizontal="centerContinuous" wrapText="1"/>
    </xf>
    <xf numFmtId="17" fontId="8" fillId="0" borderId="31" xfId="0" quotePrefix="1" applyNumberFormat="1" applyFont="1" applyBorder="1" applyAlignment="1">
      <alignment horizontal="right" wrapText="1"/>
    </xf>
    <xf numFmtId="167" fontId="8" fillId="0" borderId="32" xfId="2" applyNumberFormat="1" applyFont="1" applyBorder="1" applyAlignment="1" applyProtection="1">
      <alignment horizontal="right"/>
    </xf>
    <xf numFmtId="44" fontId="8" fillId="0" borderId="24" xfId="4" applyFont="1" applyBorder="1" applyAlignment="1" applyProtection="1">
      <alignment horizontal="right"/>
    </xf>
    <xf numFmtId="17" fontId="8" fillId="0" borderId="38" xfId="0" applyNumberFormat="1" applyFont="1" applyBorder="1" applyAlignment="1">
      <alignment horizontal="right"/>
    </xf>
    <xf numFmtId="167" fontId="8" fillId="0" borderId="39" xfId="2" applyNumberFormat="1" applyFont="1" applyBorder="1" applyAlignment="1" applyProtection="1">
      <alignment horizontal="right"/>
    </xf>
    <xf numFmtId="167" fontId="8" fillId="0" borderId="24" xfId="4" applyNumberFormat="1" applyFont="1" applyBorder="1" applyAlignment="1" applyProtection="1">
      <alignment horizontal="right"/>
    </xf>
    <xf numFmtId="167" fontId="21" fillId="0" borderId="39" xfId="2" applyNumberFormat="1" applyFont="1" applyBorder="1" applyAlignment="1" applyProtection="1">
      <alignment horizontal="right"/>
    </xf>
    <xf numFmtId="17" fontId="8" fillId="0" borderId="35" xfId="0" applyNumberFormat="1" applyFont="1" applyBorder="1" applyAlignment="1">
      <alignment horizontal="right"/>
    </xf>
    <xf numFmtId="167" fontId="8" fillId="0" borderId="36" xfId="2" applyNumberFormat="1" applyFont="1" applyBorder="1" applyAlignment="1" applyProtection="1">
      <alignment horizontal="right"/>
    </xf>
    <xf numFmtId="167" fontId="8" fillId="0" borderId="40" xfId="4" applyNumberFormat="1" applyFont="1" applyBorder="1" applyAlignment="1" applyProtection="1">
      <alignment horizontal="right"/>
    </xf>
    <xf numFmtId="0" fontId="19" fillId="0" borderId="41" xfId="0" applyFont="1" applyBorder="1" applyAlignment="1">
      <alignment horizontal="right"/>
    </xf>
    <xf numFmtId="167" fontId="19" fillId="0" borderId="37" xfId="2" applyNumberFormat="1" applyFont="1" applyBorder="1" applyAlignment="1" applyProtection="1">
      <alignment horizontal="right"/>
    </xf>
    <xf numFmtId="167" fontId="19" fillId="0" borderId="34" xfId="2" applyNumberFormat="1" applyFont="1" applyBorder="1" applyAlignment="1" applyProtection="1">
      <alignment horizontal="right"/>
    </xf>
    <xf numFmtId="0" fontId="8" fillId="0" borderId="0" xfId="0" applyFont="1"/>
    <xf numFmtId="167" fontId="8" fillId="0" borderId="0" xfId="0" applyNumberFormat="1" applyFont="1"/>
    <xf numFmtId="167" fontId="8" fillId="0" borderId="0" xfId="0" applyNumberFormat="1" applyFont="1" applyAlignment="1">
      <alignment wrapText="1"/>
    </xf>
    <xf numFmtId="0" fontId="8" fillId="0" borderId="0" xfId="0" applyFont="1" applyAlignment="1">
      <alignment wrapText="1"/>
    </xf>
    <xf numFmtId="0" fontId="10" fillId="0" borderId="0" xfId="0" applyFont="1" applyAlignment="1">
      <alignment wrapText="1"/>
    </xf>
    <xf numFmtId="0" fontId="8" fillId="0" borderId="6"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19" fillId="0" borderId="2" xfId="0" applyFont="1" applyBorder="1" applyAlignment="1" applyProtection="1">
      <alignment horizontal="left" vertical="center"/>
      <protection locked="0"/>
    </xf>
    <xf numFmtId="0" fontId="19" fillId="0" borderId="12" xfId="0" applyFont="1" applyBorder="1" applyAlignment="1" applyProtection="1">
      <alignment horizontal="left" vertical="center"/>
      <protection locked="0"/>
    </xf>
    <xf numFmtId="0" fontId="19" fillId="0" borderId="7" xfId="0" applyFont="1" applyBorder="1" applyAlignment="1">
      <alignment vertical="center" wrapText="1"/>
    </xf>
    <xf numFmtId="0" fontId="8" fillId="0" borderId="8" xfId="0" applyFont="1" applyBorder="1" applyAlignment="1">
      <alignment vertical="center" wrapText="1"/>
    </xf>
    <xf numFmtId="0" fontId="8" fillId="0" borderId="10" xfId="0" applyFont="1" applyBorder="1" applyAlignment="1">
      <alignment vertical="center" wrapText="1"/>
    </xf>
    <xf numFmtId="0" fontId="8" fillId="0" borderId="0" xfId="0" applyFont="1" applyAlignment="1">
      <alignment horizontal="left" vertical="center" wrapText="1"/>
    </xf>
    <xf numFmtId="167" fontId="8" fillId="0" borderId="0" xfId="0" applyNumberFormat="1" applyFont="1" applyAlignment="1">
      <alignment horizontal="left" vertical="center" wrapText="1"/>
    </xf>
    <xf numFmtId="0" fontId="10" fillId="0" borderId="0" xfId="0" applyFont="1" applyAlignment="1">
      <alignment horizontal="left"/>
    </xf>
    <xf numFmtId="167" fontId="10" fillId="0" borderId="0" xfId="0" applyNumberFormat="1" applyFont="1" applyAlignment="1">
      <alignment horizontal="left"/>
    </xf>
    <xf numFmtId="167" fontId="10" fillId="0" borderId="0" xfId="0" applyNumberFormat="1" applyFont="1" applyAlignment="1">
      <alignment horizontal="left" wrapText="1"/>
    </xf>
    <xf numFmtId="0" fontId="10" fillId="0" borderId="0" xfId="0" applyFont="1" applyAlignment="1">
      <alignment horizontal="left" wrapText="1"/>
    </xf>
    <xf numFmtId="167" fontId="10" fillId="0" borderId="0" xfId="0" applyNumberFormat="1" applyFont="1"/>
    <xf numFmtId="167" fontId="10" fillId="0" borderId="0" xfId="0" applyNumberFormat="1" applyFont="1" applyAlignment="1">
      <alignment wrapText="1"/>
    </xf>
    <xf numFmtId="165" fontId="22" fillId="0" borderId="14" xfId="1" applyNumberFormat="1" applyFont="1" applyBorder="1" applyAlignment="1" applyProtection="1">
      <alignment horizontal="right"/>
    </xf>
    <xf numFmtId="167" fontId="19" fillId="0" borderId="42" xfId="0" applyNumberFormat="1" applyFont="1" applyBorder="1" applyAlignment="1">
      <alignment horizontal="centerContinuous" wrapText="1"/>
    </xf>
    <xf numFmtId="167" fontId="19" fillId="0" borderId="43" xfId="0" applyNumberFormat="1" applyFont="1" applyBorder="1" applyAlignment="1">
      <alignment horizontal="centerContinuous" wrapText="1"/>
    </xf>
    <xf numFmtId="167" fontId="19" fillId="0" borderId="6" xfId="0" applyNumberFormat="1" applyFont="1" applyBorder="1" applyAlignment="1">
      <alignment horizontal="center" wrapText="1"/>
    </xf>
    <xf numFmtId="167" fontId="19" fillId="0" borderId="7" xfId="0" applyNumberFormat="1" applyFont="1" applyBorder="1" applyAlignment="1">
      <alignment horizontal="center" wrapText="1"/>
    </xf>
    <xf numFmtId="167" fontId="8" fillId="0" borderId="42" xfId="4" applyNumberFormat="1" applyFont="1" applyBorder="1" applyAlignment="1" applyProtection="1">
      <alignment horizontal="right"/>
    </xf>
    <xf numFmtId="167" fontId="8" fillId="0" borderId="23" xfId="4" applyNumberFormat="1" applyFont="1" applyBorder="1" applyAlignment="1" applyProtection="1">
      <alignment horizontal="right"/>
    </xf>
    <xf numFmtId="167" fontId="21" fillId="0" borderId="23" xfId="4" applyNumberFormat="1" applyFont="1" applyBorder="1" applyAlignment="1" applyProtection="1">
      <alignment horizontal="right"/>
    </xf>
    <xf numFmtId="167" fontId="8" fillId="0" borderId="43" xfId="4" applyNumberFormat="1" applyFont="1" applyBorder="1" applyAlignment="1" applyProtection="1">
      <alignment horizontal="right"/>
    </xf>
    <xf numFmtId="167" fontId="19" fillId="0" borderId="33" xfId="2" applyNumberFormat="1" applyFont="1" applyBorder="1" applyAlignment="1" applyProtection="1">
      <alignment horizontal="right"/>
    </xf>
    <xf numFmtId="167" fontId="8" fillId="0" borderId="2" xfId="4" applyNumberFormat="1" applyFont="1" applyBorder="1" applyAlignment="1" applyProtection="1">
      <alignment horizontal="right" wrapText="1"/>
    </xf>
    <xf numFmtId="44" fontId="8" fillId="0" borderId="12" xfId="4" applyFont="1" applyBorder="1" applyAlignment="1" applyProtection="1">
      <alignment horizontal="right" wrapText="1"/>
    </xf>
    <xf numFmtId="167" fontId="8" fillId="0" borderId="12" xfId="4" applyNumberFormat="1" applyFont="1" applyBorder="1" applyAlignment="1" applyProtection="1">
      <alignment horizontal="right" wrapText="1"/>
    </xf>
    <xf numFmtId="167" fontId="8" fillId="0" borderId="2" xfId="4" applyNumberFormat="1" applyFont="1" applyBorder="1" applyAlignment="1" applyProtection="1">
      <alignment horizontal="right" vertical="center" wrapText="1"/>
    </xf>
    <xf numFmtId="167" fontId="8" fillId="0" borderId="7" xfId="4" applyNumberFormat="1" applyFont="1" applyBorder="1" applyAlignment="1" applyProtection="1">
      <alignment horizontal="right" wrapText="1"/>
    </xf>
    <xf numFmtId="167" fontId="8" fillId="0" borderId="10" xfId="4" applyNumberFormat="1" applyFont="1" applyBorder="1" applyAlignment="1" applyProtection="1">
      <alignment horizontal="right" wrapText="1"/>
    </xf>
    <xf numFmtId="167" fontId="19" fillId="0" borderId="13" xfId="2" applyNumberFormat="1" applyFont="1" applyBorder="1" applyAlignment="1" applyProtection="1">
      <alignment horizontal="right" wrapText="1"/>
    </xf>
    <xf numFmtId="0" fontId="19" fillId="0" borderId="0" xfId="0" applyFont="1" applyAlignment="1" applyProtection="1">
      <alignment horizontal="left" vertical="center"/>
      <protection locked="0"/>
    </xf>
    <xf numFmtId="0" fontId="19" fillId="0" borderId="0" xfId="0" applyFont="1" applyAlignment="1" applyProtection="1">
      <alignment horizontal="left" vertical="center" wrapText="1"/>
      <protection locked="0"/>
    </xf>
    <xf numFmtId="0" fontId="19" fillId="0" borderId="12" xfId="0" applyFont="1" applyBorder="1" applyAlignment="1" applyProtection="1">
      <alignment horizontal="left" vertical="center" wrapText="1"/>
      <protection locked="0"/>
    </xf>
    <xf numFmtId="167" fontId="19" fillId="0" borderId="15" xfId="2" applyNumberFormat="1" applyFont="1" applyBorder="1" applyAlignment="1" applyProtection="1">
      <alignment horizontal="right" wrapText="1"/>
    </xf>
    <xf numFmtId="10" fontId="16" fillId="0" borderId="15" xfId="0" applyNumberFormat="1" applyFont="1" applyBorder="1" applyAlignment="1">
      <alignment vertical="center"/>
    </xf>
    <xf numFmtId="0" fontId="2" fillId="0" borderId="0" xfId="0" applyFont="1" applyAlignment="1">
      <alignment horizontal="center"/>
    </xf>
    <xf numFmtId="0" fontId="4" fillId="0" borderId="0" xfId="0" applyFont="1" applyAlignment="1">
      <alignment horizontal="center"/>
    </xf>
    <xf numFmtId="0" fontId="4" fillId="0" borderId="0" xfId="0" applyFont="1" applyAlignment="1">
      <alignment horizontal="right"/>
    </xf>
    <xf numFmtId="0" fontId="2" fillId="0" borderId="0" xfId="0" applyFont="1" applyAlignment="1">
      <alignment horizontal="left"/>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16"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16" xfId="0" applyFont="1" applyBorder="1" applyAlignment="1">
      <alignment horizontal="center"/>
    </xf>
    <xf numFmtId="0" fontId="13" fillId="0" borderId="16" xfId="0" applyFont="1" applyBorder="1" applyAlignment="1">
      <alignment horizontal="right"/>
    </xf>
    <xf numFmtId="0" fontId="13" fillId="0" borderId="18" xfId="0" applyFont="1" applyBorder="1" applyAlignment="1">
      <alignment horizontal="right"/>
    </xf>
    <xf numFmtId="0" fontId="13" fillId="0" borderId="19" xfId="0" applyFont="1" applyBorder="1" applyAlignment="1">
      <alignment horizontal="righ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11" xfId="0" applyFont="1" applyBorder="1" applyAlignment="1">
      <alignment horizontal="center"/>
    </xf>
    <xf numFmtId="167" fontId="13" fillId="0" borderId="18" xfId="0" applyNumberFormat="1" applyFont="1" applyBorder="1" applyAlignment="1">
      <alignment horizontal="center"/>
    </xf>
    <xf numFmtId="167" fontId="13" fillId="0" borderId="19" xfId="0" applyNumberFormat="1" applyFont="1" applyBorder="1" applyAlignment="1">
      <alignment horizontal="center"/>
    </xf>
    <xf numFmtId="167" fontId="13" fillId="0" borderId="16" xfId="0" applyNumberFormat="1"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7" fillId="0" borderId="16" xfId="0" applyFont="1" applyBorder="1" applyAlignment="1">
      <alignment horizontal="right"/>
    </xf>
    <xf numFmtId="0" fontId="17" fillId="0" borderId="18" xfId="0" applyFont="1" applyBorder="1" applyAlignment="1">
      <alignment horizontal="right"/>
    </xf>
    <xf numFmtId="0" fontId="17" fillId="0" borderId="19" xfId="0" applyFont="1" applyBorder="1" applyAlignment="1">
      <alignment horizontal="right"/>
    </xf>
    <xf numFmtId="0" fontId="17" fillId="0" borderId="16" xfId="0" applyFont="1" applyBorder="1" applyAlignment="1">
      <alignment horizontal="center"/>
    </xf>
    <xf numFmtId="0" fontId="18" fillId="0" borderId="18" xfId="0" applyFont="1" applyBorder="1" applyAlignment="1">
      <alignment horizontal="center"/>
    </xf>
    <xf numFmtId="0" fontId="18" fillId="0" borderId="19" xfId="0" applyFont="1" applyBorder="1" applyAlignment="1">
      <alignment horizontal="center"/>
    </xf>
    <xf numFmtId="0" fontId="18" fillId="0" borderId="16" xfId="0" applyFont="1" applyBorder="1" applyAlignment="1">
      <alignment horizontal="right"/>
    </xf>
    <xf numFmtId="0" fontId="18" fillId="0" borderId="18" xfId="0" applyFont="1" applyBorder="1" applyAlignment="1">
      <alignment horizontal="right"/>
    </xf>
    <xf numFmtId="0" fontId="18" fillId="0" borderId="19"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482600</xdr:colOff>
      <xdr:row>3</xdr:row>
      <xdr:rowOff>101600</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PROGRAMS\Simple\Reports\PPR%20Reports\2025\s448tavaresppr.xls" TargetMode="External"/><Relationship Id="rId1" Type="http://schemas.openxmlformats.org/officeDocument/2006/relationships/externalLinkPath" Target="file:///G:\PROGRAMS\Simple\Reports\PPR%20Reports\2025\s448tavarespp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1"/>
      <sheetName val="Plan Acct"/>
    </sheetNames>
    <sheetDataSet>
      <sheetData sheetId="0">
        <row r="1">
          <cell r="B1" t="str">
            <v>Tavares Concrete Company Inc.</v>
          </cell>
        </row>
        <row r="5">
          <cell r="D5" t="str">
            <v>S448</v>
          </cell>
        </row>
        <row r="6">
          <cell r="D6" t="str">
            <v>Dental</v>
          </cell>
        </row>
      </sheetData>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2"/>
  <sheetViews>
    <sheetView tabSelected="1" workbookViewId="0">
      <selection activeCell="L17" sqref="L17"/>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79" t="s">
        <v>43</v>
      </c>
      <c r="C1" s="179"/>
      <c r="D1" s="179"/>
      <c r="E1" s="179"/>
      <c r="F1" s="179"/>
      <c r="G1" s="179"/>
      <c r="H1" s="179"/>
      <c r="I1" s="179"/>
      <c r="J1" s="179"/>
      <c r="K1" s="179"/>
      <c r="L1" s="179"/>
      <c r="M1" s="179"/>
      <c r="N1" s="179"/>
    </row>
    <row r="2" spans="2:26" s="1" customFormat="1" ht="20.25" customHeight="1" x14ac:dyDescent="0.25">
      <c r="B2" s="180" t="s">
        <v>38</v>
      </c>
      <c r="C2" s="180"/>
      <c r="D2" s="180"/>
      <c r="E2" s="180"/>
      <c r="F2" s="180"/>
      <c r="G2" s="180"/>
      <c r="H2" s="180"/>
      <c r="I2" s="180"/>
      <c r="J2" s="180"/>
      <c r="K2" s="180"/>
      <c r="L2" s="180"/>
      <c r="M2" s="180"/>
      <c r="N2" s="180"/>
      <c r="O2" s="2"/>
      <c r="P2" s="2"/>
      <c r="Q2" s="3"/>
      <c r="R2" s="2"/>
      <c r="S2" s="2"/>
      <c r="T2" s="2"/>
      <c r="U2" s="2"/>
      <c r="V2" s="2"/>
      <c r="W2" s="2"/>
      <c r="X2" s="2"/>
      <c r="Y2" s="2"/>
      <c r="Z2" s="2"/>
    </row>
    <row r="3" spans="2:26" s="1" customFormat="1" ht="20.25" customHeight="1" x14ac:dyDescent="0.25">
      <c r="G3" s="4" t="s">
        <v>0</v>
      </c>
      <c r="H3" s="5">
        <v>46054</v>
      </c>
      <c r="I3" s="20" t="s">
        <v>42</v>
      </c>
      <c r="J3" s="5">
        <v>46418</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81" t="s">
        <v>1</v>
      </c>
      <c r="C5" s="181"/>
      <c r="D5" s="182" t="s">
        <v>44</v>
      </c>
      <c r="E5" s="182"/>
      <c r="F5" s="182"/>
      <c r="G5" s="182"/>
      <c r="H5" s="14"/>
      <c r="I5" s="15"/>
      <c r="J5" s="15"/>
      <c r="K5" s="181" t="s">
        <v>2</v>
      </c>
      <c r="L5" s="181"/>
      <c r="M5" s="182" t="s">
        <v>40</v>
      </c>
      <c r="N5" s="182"/>
    </row>
    <row r="6" spans="2:26" s="1" customFormat="1" ht="20.25" customHeight="1" x14ac:dyDescent="0.25">
      <c r="B6" s="181" t="s">
        <v>3</v>
      </c>
      <c r="C6" s="181"/>
      <c r="D6" s="182" t="s">
        <v>39</v>
      </c>
      <c r="E6" s="182"/>
      <c r="F6" s="182"/>
      <c r="G6" s="182"/>
      <c r="H6" s="14"/>
      <c r="I6" s="11"/>
      <c r="J6" s="11"/>
      <c r="K6" s="181" t="s">
        <v>4</v>
      </c>
      <c r="L6" s="181"/>
      <c r="M6" s="182" t="s">
        <v>45</v>
      </c>
      <c r="N6" s="182"/>
    </row>
    <row r="7" spans="2:26" ht="21" customHeight="1" thickBot="1" x14ac:dyDescent="0.25">
      <c r="C7" s="17"/>
      <c r="D7" s="17"/>
      <c r="E7" s="17"/>
    </row>
    <row r="8" spans="2:26" s="22" customFormat="1" ht="15.75" customHeight="1" thickBot="1" x14ac:dyDescent="0.25">
      <c r="B8" s="193" t="s">
        <v>5</v>
      </c>
      <c r="C8" s="194"/>
      <c r="D8" s="194"/>
      <c r="E8" s="194"/>
      <c r="F8" s="194"/>
      <c r="G8" s="194"/>
      <c r="H8" s="21" t="s">
        <v>6</v>
      </c>
      <c r="I8" s="195" t="s">
        <v>7</v>
      </c>
      <c r="J8" s="195"/>
      <c r="K8" s="195"/>
      <c r="L8" s="196"/>
      <c r="M8" s="197" t="s">
        <v>8</v>
      </c>
      <c r="N8" s="196"/>
    </row>
    <row r="9" spans="2:26" s="22" customFormat="1" ht="15.75" customHeight="1" x14ac:dyDescent="0.25">
      <c r="B9" s="23"/>
      <c r="C9" s="24"/>
      <c r="D9" s="24"/>
      <c r="E9" s="24"/>
      <c r="F9" s="24"/>
      <c r="G9" s="25"/>
      <c r="H9" s="26"/>
      <c r="I9" s="27"/>
      <c r="J9" s="27"/>
      <c r="K9" s="27"/>
      <c r="L9" s="28"/>
      <c r="M9" s="29" t="s">
        <v>9</v>
      </c>
      <c r="N9" s="30" t="s">
        <v>10</v>
      </c>
    </row>
    <row r="10" spans="2:26" s="22" customFormat="1" ht="15.75" customHeight="1" thickBot="1" x14ac:dyDescent="0.3">
      <c r="B10" s="31" t="s">
        <v>11</v>
      </c>
      <c r="C10" s="32" t="s">
        <v>12</v>
      </c>
      <c r="D10" s="33" t="s">
        <v>50</v>
      </c>
      <c r="E10" s="32"/>
      <c r="F10" s="32" t="s">
        <v>13</v>
      </c>
      <c r="G10" s="32" t="s">
        <v>14</v>
      </c>
      <c r="H10" s="34" t="s">
        <v>15</v>
      </c>
      <c r="I10" s="35" t="s">
        <v>16</v>
      </c>
      <c r="J10" s="35" t="s">
        <v>17</v>
      </c>
      <c r="K10" s="35" t="s">
        <v>18</v>
      </c>
      <c r="L10" s="36" t="s">
        <v>19</v>
      </c>
      <c r="M10" s="37" t="s">
        <v>20</v>
      </c>
      <c r="N10" s="38" t="s">
        <v>21</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46054</v>
      </c>
      <c r="C12" s="51">
        <v>4</v>
      </c>
      <c r="D12" s="51">
        <f>4+2</f>
        <v>6</v>
      </c>
      <c r="E12" s="51"/>
      <c r="F12" s="51">
        <v>13</v>
      </c>
      <c r="G12" s="52">
        <f>SUM(C12:F12)</f>
        <v>23</v>
      </c>
      <c r="H12" s="53">
        <v>152</v>
      </c>
      <c r="I12" s="54">
        <f>(C12*$C$29)+(D12*$C$30)+(E12*$C$31)+(F12*$C$32)</f>
        <v>1900.9</v>
      </c>
      <c r="J12" s="55">
        <v>0</v>
      </c>
      <c r="K12" s="55">
        <v>0</v>
      </c>
      <c r="L12" s="52">
        <v>0</v>
      </c>
      <c r="M12" s="54">
        <f>I12-K12</f>
        <v>1900.9</v>
      </c>
      <c r="N12" s="56">
        <f>K12/I12</f>
        <v>0</v>
      </c>
      <c r="Q12" s="49"/>
      <c r="R12" s="49"/>
    </row>
    <row r="13" spans="2:26" s="22" customFormat="1" ht="15.75" customHeight="1" x14ac:dyDescent="0.2">
      <c r="B13" s="50">
        <v>46082</v>
      </c>
      <c r="C13" s="51">
        <v>4</v>
      </c>
      <c r="D13" s="51">
        <f>4+2</f>
        <v>6</v>
      </c>
      <c r="E13" s="51"/>
      <c r="F13" s="51">
        <v>13</v>
      </c>
      <c r="G13" s="52">
        <f t="shared" ref="G13:G23" si="0">SUM(C13:F13)</f>
        <v>23</v>
      </c>
      <c r="H13" s="53">
        <v>152</v>
      </c>
      <c r="I13" s="54">
        <f t="shared" ref="I13:I23" si="1">(C13*$C$29)+(D13*$C$30)+(E13*$C$31)+(F13*$C$32)</f>
        <v>1900.9</v>
      </c>
      <c r="J13" s="55">
        <v>0</v>
      </c>
      <c r="K13" s="55">
        <v>0</v>
      </c>
      <c r="L13" s="52">
        <v>0</v>
      </c>
      <c r="M13" s="54">
        <f t="shared" ref="M13:M23" si="2">I13-K13</f>
        <v>1900.9</v>
      </c>
      <c r="N13" s="56">
        <f t="shared" ref="N13:N16" si="3">K13/I13</f>
        <v>0</v>
      </c>
      <c r="Q13" s="57"/>
      <c r="R13" s="49"/>
    </row>
    <row r="14" spans="2:26" s="22" customFormat="1" ht="15.75" customHeight="1" x14ac:dyDescent="0.2">
      <c r="B14" s="50">
        <v>46113</v>
      </c>
      <c r="C14" s="51">
        <v>4</v>
      </c>
      <c r="D14" s="51">
        <v>6</v>
      </c>
      <c r="E14" s="51"/>
      <c r="F14" s="51">
        <v>14</v>
      </c>
      <c r="G14" s="52">
        <f t="shared" si="0"/>
        <v>24</v>
      </c>
      <c r="H14" s="53">
        <v>152</v>
      </c>
      <c r="I14" s="54">
        <f t="shared" si="1"/>
        <v>2003.9</v>
      </c>
      <c r="J14" s="55">
        <v>103910.99</v>
      </c>
      <c r="K14" s="55">
        <v>37090.53</v>
      </c>
      <c r="L14" s="52">
        <v>174</v>
      </c>
      <c r="M14" s="54">
        <f t="shared" si="2"/>
        <v>-35086.629999999997</v>
      </c>
      <c r="N14" s="56">
        <f t="shared" si="3"/>
        <v>18.509172114376963</v>
      </c>
      <c r="Q14" s="57"/>
      <c r="R14" s="49"/>
    </row>
    <row r="15" spans="2:26" s="22" customFormat="1" ht="15.75" customHeight="1" x14ac:dyDescent="0.2">
      <c r="B15" s="50">
        <v>46143</v>
      </c>
      <c r="C15" s="51">
        <v>4</v>
      </c>
      <c r="D15" s="51">
        <v>6</v>
      </c>
      <c r="E15" s="51"/>
      <c r="F15" s="51">
        <v>14</v>
      </c>
      <c r="G15" s="52">
        <f t="shared" si="0"/>
        <v>24</v>
      </c>
      <c r="H15" s="53">
        <v>152</v>
      </c>
      <c r="I15" s="54">
        <f t="shared" si="1"/>
        <v>2003.9</v>
      </c>
      <c r="J15" s="55">
        <v>28149.5</v>
      </c>
      <c r="K15" s="55">
        <v>9234.1</v>
      </c>
      <c r="L15" s="52">
        <v>30</v>
      </c>
      <c r="M15" s="54">
        <f t="shared" si="2"/>
        <v>-7230.2000000000007</v>
      </c>
      <c r="N15" s="56">
        <f t="shared" si="3"/>
        <v>4.6080642746644047</v>
      </c>
      <c r="Q15" s="57"/>
      <c r="R15" s="49"/>
    </row>
    <row r="16" spans="2:26" s="22" customFormat="1" ht="15.75" customHeight="1" x14ac:dyDescent="0.2">
      <c r="B16" s="50">
        <v>46174</v>
      </c>
      <c r="C16" s="51">
        <v>4</v>
      </c>
      <c r="D16" s="51">
        <v>6</v>
      </c>
      <c r="E16" s="51"/>
      <c r="F16" s="51">
        <v>14</v>
      </c>
      <c r="G16" s="52">
        <f t="shared" si="0"/>
        <v>24</v>
      </c>
      <c r="H16" s="53">
        <v>152</v>
      </c>
      <c r="I16" s="54">
        <f t="shared" si="1"/>
        <v>2003.9</v>
      </c>
      <c r="J16" s="55">
        <v>9928</v>
      </c>
      <c r="K16" s="55">
        <v>1126.3</v>
      </c>
      <c r="L16" s="52">
        <v>13</v>
      </c>
      <c r="M16" s="54">
        <f t="shared" si="2"/>
        <v>877.60000000000014</v>
      </c>
      <c r="N16" s="56">
        <f t="shared" si="3"/>
        <v>0.56205399471031481</v>
      </c>
      <c r="Q16" s="57"/>
      <c r="R16" s="49"/>
    </row>
    <row r="17" spans="2:18" s="22" customFormat="1" ht="15.75" customHeight="1" x14ac:dyDescent="0.2">
      <c r="B17" s="50">
        <v>46204</v>
      </c>
      <c r="C17" s="51"/>
      <c r="D17" s="51"/>
      <c r="E17" s="51"/>
      <c r="F17" s="51"/>
      <c r="G17" s="52">
        <f t="shared" si="0"/>
        <v>0</v>
      </c>
      <c r="H17" s="53">
        <v>152</v>
      </c>
      <c r="I17" s="54">
        <f t="shared" si="1"/>
        <v>0</v>
      </c>
      <c r="J17" s="55"/>
      <c r="K17" s="55"/>
      <c r="L17" s="52"/>
      <c r="M17" s="54">
        <f t="shared" si="2"/>
        <v>0</v>
      </c>
      <c r="N17" s="56"/>
      <c r="Q17" s="57"/>
      <c r="R17" s="49"/>
    </row>
    <row r="18" spans="2:18" s="22" customFormat="1" ht="15.75" customHeight="1" x14ac:dyDescent="0.2">
      <c r="B18" s="50">
        <v>46235</v>
      </c>
      <c r="C18" s="51"/>
      <c r="D18" s="51"/>
      <c r="E18" s="51"/>
      <c r="F18" s="51"/>
      <c r="G18" s="52">
        <f t="shared" si="0"/>
        <v>0</v>
      </c>
      <c r="H18" s="53">
        <v>152</v>
      </c>
      <c r="I18" s="54">
        <f t="shared" si="1"/>
        <v>0</v>
      </c>
      <c r="J18" s="55"/>
      <c r="K18" s="55"/>
      <c r="L18" s="52"/>
      <c r="M18" s="54">
        <f t="shared" si="2"/>
        <v>0</v>
      </c>
      <c r="N18" s="56"/>
      <c r="Q18" s="57"/>
      <c r="R18" s="49"/>
    </row>
    <row r="19" spans="2:18" s="22" customFormat="1" ht="15.75" customHeight="1" x14ac:dyDescent="0.2">
      <c r="B19" s="50">
        <v>46266</v>
      </c>
      <c r="C19" s="51"/>
      <c r="D19" s="51"/>
      <c r="E19" s="51"/>
      <c r="F19" s="51"/>
      <c r="G19" s="52">
        <f t="shared" si="0"/>
        <v>0</v>
      </c>
      <c r="H19" s="53">
        <v>152</v>
      </c>
      <c r="I19" s="54">
        <f t="shared" si="1"/>
        <v>0</v>
      </c>
      <c r="J19" s="55"/>
      <c r="K19" s="55"/>
      <c r="L19" s="52"/>
      <c r="M19" s="54">
        <f t="shared" si="2"/>
        <v>0</v>
      </c>
      <c r="N19" s="56"/>
      <c r="Q19" s="57"/>
      <c r="R19" s="49"/>
    </row>
    <row r="20" spans="2:18" s="22" customFormat="1" ht="15.75" customHeight="1" x14ac:dyDescent="0.2">
      <c r="B20" s="50">
        <v>46296</v>
      </c>
      <c r="C20" s="51"/>
      <c r="D20" s="51"/>
      <c r="E20" s="51"/>
      <c r="F20" s="51"/>
      <c r="G20" s="52">
        <f t="shared" si="0"/>
        <v>0</v>
      </c>
      <c r="H20" s="53">
        <v>152</v>
      </c>
      <c r="I20" s="54">
        <f t="shared" si="1"/>
        <v>0</v>
      </c>
      <c r="J20" s="55"/>
      <c r="K20" s="55"/>
      <c r="L20" s="52"/>
      <c r="M20" s="54">
        <f t="shared" si="2"/>
        <v>0</v>
      </c>
      <c r="N20" s="56"/>
      <c r="Q20" s="57"/>
      <c r="R20" s="49"/>
    </row>
    <row r="21" spans="2:18" s="22" customFormat="1" ht="15.75" customHeight="1" x14ac:dyDescent="0.2">
      <c r="B21" s="50">
        <v>46327</v>
      </c>
      <c r="C21" s="51"/>
      <c r="D21" s="51"/>
      <c r="E21" s="51"/>
      <c r="F21" s="51"/>
      <c r="G21" s="52">
        <f t="shared" si="0"/>
        <v>0</v>
      </c>
      <c r="H21" s="53">
        <v>152</v>
      </c>
      <c r="I21" s="54">
        <f t="shared" si="1"/>
        <v>0</v>
      </c>
      <c r="J21" s="55"/>
      <c r="K21" s="55"/>
      <c r="L21" s="52"/>
      <c r="M21" s="54">
        <f t="shared" si="2"/>
        <v>0</v>
      </c>
      <c r="N21" s="56"/>
      <c r="Q21" s="57"/>
      <c r="R21" s="49"/>
    </row>
    <row r="22" spans="2:18" s="22" customFormat="1" ht="15.75" customHeight="1" x14ac:dyDescent="0.2">
      <c r="B22" s="50">
        <v>46357</v>
      </c>
      <c r="C22" s="51"/>
      <c r="D22" s="51"/>
      <c r="E22" s="51"/>
      <c r="F22" s="51"/>
      <c r="G22" s="52">
        <f t="shared" si="0"/>
        <v>0</v>
      </c>
      <c r="H22" s="53">
        <v>152</v>
      </c>
      <c r="I22" s="54">
        <f t="shared" si="1"/>
        <v>0</v>
      </c>
      <c r="J22" s="55"/>
      <c r="K22" s="55"/>
      <c r="L22" s="52"/>
      <c r="M22" s="54">
        <f t="shared" si="2"/>
        <v>0</v>
      </c>
      <c r="N22" s="56"/>
      <c r="Q22" s="57"/>
      <c r="R22" s="49"/>
    </row>
    <row r="23" spans="2:18" s="22" customFormat="1" ht="15.75" customHeight="1" x14ac:dyDescent="0.2">
      <c r="B23" s="50">
        <v>46388</v>
      </c>
      <c r="C23" s="51"/>
      <c r="D23" s="51"/>
      <c r="E23" s="51"/>
      <c r="F23" s="51"/>
      <c r="G23" s="52">
        <f t="shared" si="0"/>
        <v>0</v>
      </c>
      <c r="H23" s="53">
        <v>152</v>
      </c>
      <c r="I23" s="54">
        <f t="shared" si="1"/>
        <v>0</v>
      </c>
      <c r="J23" s="55"/>
      <c r="K23" s="55"/>
      <c r="L23" s="52"/>
      <c r="M23" s="54">
        <f t="shared" si="2"/>
        <v>0</v>
      </c>
      <c r="N23" s="91">
        <f t="shared" ref="N23" si="4">K23/(H23+I23)</f>
        <v>0</v>
      </c>
      <c r="Q23" s="57"/>
      <c r="R23" s="49"/>
    </row>
    <row r="24" spans="2:18" s="22" customFormat="1" ht="15.75" customHeight="1" thickBot="1" x14ac:dyDescent="0.25">
      <c r="B24" s="58"/>
      <c r="C24" s="59"/>
      <c r="D24" s="59"/>
      <c r="E24" s="59"/>
      <c r="F24" s="59"/>
      <c r="G24" s="60"/>
      <c r="H24" s="61"/>
      <c r="I24" s="62"/>
      <c r="J24" s="63"/>
      <c r="K24" s="64"/>
      <c r="L24" s="65"/>
      <c r="M24" s="66"/>
      <c r="N24" s="67"/>
    </row>
    <row r="25" spans="2:18" s="74" customFormat="1" ht="15.75" customHeight="1" thickBot="1" x14ac:dyDescent="0.3">
      <c r="B25" s="68" t="s">
        <v>22</v>
      </c>
      <c r="C25" s="69">
        <f>AVERAGEIF(C12:C23,"&gt;0")</f>
        <v>4</v>
      </c>
      <c r="D25" s="69">
        <f>AVERAGEIF(D12:D23,"&gt;0")</f>
        <v>6</v>
      </c>
      <c r="E25" s="157" t="e">
        <f>AVERAGEIF(E12:E23,"&gt;0")</f>
        <v>#DIV/0!</v>
      </c>
      <c r="F25" s="69">
        <f>AVERAGEIF(F12:F23,"&gt;0")</f>
        <v>13.6</v>
      </c>
      <c r="G25" s="69">
        <f>AVERAGEIF(G12:G23,"&gt;0")</f>
        <v>23.6</v>
      </c>
      <c r="H25" s="70">
        <f>SUM(H11:H23)</f>
        <v>1824</v>
      </c>
      <c r="I25" s="70">
        <f>SUM(I11:I23)</f>
        <v>9813.5</v>
      </c>
      <c r="J25" s="71">
        <f>SUM(J11:J23)</f>
        <v>141988.49</v>
      </c>
      <c r="K25" s="72">
        <f>SUM(K11:K23)</f>
        <v>47450.93</v>
      </c>
      <c r="L25" s="73">
        <f>SUM(L12:L23)</f>
        <v>217</v>
      </c>
      <c r="M25" s="70">
        <f>SUM(M12:M23)</f>
        <v>-37637.43</v>
      </c>
      <c r="N25" s="178">
        <f>K25/I25</f>
        <v>4.8352708004279821</v>
      </c>
    </row>
    <row r="26" spans="2:18" s="22" customFormat="1" ht="15.75" customHeight="1" x14ac:dyDescent="0.2">
      <c r="J26" s="75"/>
      <c r="L26" s="76"/>
    </row>
    <row r="27" spans="2:18" s="22" customFormat="1" ht="15.75" customHeight="1" x14ac:dyDescent="0.25">
      <c r="B27" s="183" t="s">
        <v>23</v>
      </c>
      <c r="C27" s="184"/>
      <c r="D27" s="184"/>
      <c r="E27" s="184"/>
      <c r="F27" s="184"/>
      <c r="G27" s="185"/>
      <c r="H27" s="77"/>
      <c r="J27" s="186" t="s">
        <v>24</v>
      </c>
      <c r="K27" s="187"/>
      <c r="L27" s="187"/>
      <c r="M27" s="187"/>
      <c r="N27" s="188"/>
    </row>
    <row r="28" spans="2:18" s="22" customFormat="1" ht="15.75" customHeight="1" x14ac:dyDescent="0.2">
      <c r="B28" s="78"/>
      <c r="C28" s="187" t="s">
        <v>25</v>
      </c>
      <c r="D28" s="188"/>
      <c r="E28" s="189" t="s">
        <v>26</v>
      </c>
      <c r="F28" s="188"/>
      <c r="G28" s="79" t="s">
        <v>14</v>
      </c>
      <c r="H28" s="75"/>
      <c r="J28" s="190" t="s">
        <v>27</v>
      </c>
      <c r="K28" s="191"/>
      <c r="L28" s="191"/>
      <c r="M28" s="192"/>
      <c r="N28" s="80">
        <f>J25/L25</f>
        <v>654.32483870967735</v>
      </c>
    </row>
    <row r="29" spans="2:18" s="22" customFormat="1" ht="15.75" customHeight="1" x14ac:dyDescent="0.2">
      <c r="B29" s="81" t="s">
        <v>28</v>
      </c>
      <c r="C29" s="199">
        <v>42.15</v>
      </c>
      <c r="D29" s="200"/>
      <c r="E29" s="201">
        <v>0</v>
      </c>
      <c r="F29" s="200"/>
      <c r="G29" s="82">
        <f>C29+E29</f>
        <v>42.15</v>
      </c>
      <c r="H29" s="83"/>
      <c r="J29" s="190" t="s">
        <v>29</v>
      </c>
      <c r="K29" s="191"/>
      <c r="L29" s="191"/>
      <c r="M29" s="192"/>
      <c r="N29" s="80">
        <f>K25/L25</f>
        <v>218.66788018433181</v>
      </c>
    </row>
    <row r="30" spans="2:18" s="22" customFormat="1" ht="15.75" customHeight="1" x14ac:dyDescent="0.2">
      <c r="B30" s="84" t="str">
        <f>IF(D10="E+1","EE &amp; One","EE &amp; Spouse")</f>
        <v>EE &amp; Spouse</v>
      </c>
      <c r="C30" s="199">
        <v>65.55</v>
      </c>
      <c r="D30" s="200"/>
      <c r="E30" s="201">
        <v>0</v>
      </c>
      <c r="F30" s="200"/>
      <c r="G30" s="82">
        <f>C30+E30</f>
        <v>65.55</v>
      </c>
      <c r="H30" s="83"/>
      <c r="J30" s="190" t="s">
        <v>30</v>
      </c>
      <c r="K30" s="191"/>
      <c r="L30" s="191"/>
      <c r="M30" s="192"/>
      <c r="N30" s="85">
        <f>((L25/COUNTIF(G12:G23,"&gt;0"))*12)/G25</f>
        <v>22.067796610169488</v>
      </c>
    </row>
    <row r="31" spans="2:18" s="22" customFormat="1" ht="15.75" customHeight="1" x14ac:dyDescent="0.25">
      <c r="B31" s="186" t="s">
        <v>65</v>
      </c>
      <c r="C31" s="202"/>
      <c r="D31" s="202"/>
      <c r="E31" s="202"/>
      <c r="F31" s="202"/>
      <c r="G31" s="203"/>
      <c r="H31" s="83"/>
      <c r="J31" s="190" t="s">
        <v>31</v>
      </c>
      <c r="K31" s="191"/>
      <c r="L31" s="191"/>
      <c r="M31" s="192"/>
      <c r="N31" s="86">
        <f>K25/J25</f>
        <v>0.33418856697468929</v>
      </c>
    </row>
    <row r="32" spans="2:18" s="22" customFormat="1" ht="15.75" customHeight="1" x14ac:dyDescent="0.2">
      <c r="B32" s="81" t="s">
        <v>32</v>
      </c>
      <c r="C32" s="199">
        <v>103</v>
      </c>
      <c r="D32" s="200"/>
      <c r="E32" s="201">
        <v>0</v>
      </c>
      <c r="F32" s="200"/>
      <c r="G32" s="82">
        <f>C32+E32</f>
        <v>103</v>
      </c>
      <c r="H32" s="83"/>
      <c r="J32" s="190" t="s">
        <v>33</v>
      </c>
      <c r="K32" s="191"/>
      <c r="L32" s="191"/>
      <c r="M32" s="192"/>
      <c r="N32" s="80">
        <f>K25/G25/(COUNTIF(G12:G23,"&gt;0"))</f>
        <v>402.12652542372882</v>
      </c>
    </row>
    <row r="33" spans="2:14" s="22" customFormat="1" ht="15.75" customHeight="1" x14ac:dyDescent="0.2">
      <c r="C33" s="83"/>
      <c r="D33" s="83"/>
      <c r="E33" s="83"/>
      <c r="F33" s="87"/>
      <c r="G33" s="83"/>
      <c r="H33" s="83"/>
      <c r="J33" s="88"/>
      <c r="K33" s="88"/>
      <c r="L33" s="88"/>
      <c r="M33" s="88"/>
      <c r="N33" s="89"/>
    </row>
    <row r="34" spans="2:14" s="22" customFormat="1" ht="15.75" customHeight="1" thickBot="1" x14ac:dyDescent="0.25">
      <c r="J34" s="75"/>
      <c r="L34" s="76"/>
    </row>
    <row r="35" spans="2:14" s="22" customFormat="1" ht="15.75" customHeight="1" thickBot="1" x14ac:dyDescent="0.3">
      <c r="B35" s="198" t="s">
        <v>34</v>
      </c>
      <c r="C35" s="198"/>
      <c r="D35" s="198"/>
      <c r="E35" s="198"/>
      <c r="F35" s="198"/>
      <c r="G35" s="198"/>
      <c r="H35" s="77"/>
      <c r="J35" s="216" t="s">
        <v>36</v>
      </c>
      <c r="K35" s="217"/>
      <c r="L35" s="217"/>
      <c r="M35" s="217"/>
      <c r="N35" s="218"/>
    </row>
    <row r="36" spans="2:14" s="22" customFormat="1" ht="15.75" customHeight="1" x14ac:dyDescent="0.2">
      <c r="B36" s="228" t="s">
        <v>46</v>
      </c>
      <c r="C36" s="229"/>
      <c r="D36" s="229"/>
      <c r="E36" s="229"/>
      <c r="F36" s="229"/>
      <c r="G36" s="230"/>
      <c r="H36" s="90"/>
      <c r="J36" s="219" t="s">
        <v>27</v>
      </c>
      <c r="K36" s="220"/>
      <c r="L36" s="220"/>
      <c r="M36" s="221"/>
      <c r="N36" s="92">
        <v>427.21</v>
      </c>
    </row>
    <row r="37" spans="2:14" s="22" customFormat="1" ht="15.75" customHeight="1" x14ac:dyDescent="0.2">
      <c r="B37" s="222" t="s">
        <v>49</v>
      </c>
      <c r="C37" s="223"/>
      <c r="D37" s="223"/>
      <c r="E37" s="223"/>
      <c r="F37" s="223"/>
      <c r="G37" s="224"/>
      <c r="H37" s="90"/>
      <c r="J37" s="219" t="s">
        <v>29</v>
      </c>
      <c r="K37" s="220"/>
      <c r="L37" s="220"/>
      <c r="M37" s="221"/>
      <c r="N37" s="92">
        <v>242.12</v>
      </c>
    </row>
    <row r="38" spans="2:14" s="22" customFormat="1" ht="15.75" customHeight="1" x14ac:dyDescent="0.2">
      <c r="B38" s="222" t="s">
        <v>47</v>
      </c>
      <c r="C38" s="223"/>
      <c r="D38" s="223"/>
      <c r="E38" s="223"/>
      <c r="F38" s="223"/>
      <c r="G38" s="224"/>
      <c r="H38" s="90"/>
      <c r="J38" s="219" t="s">
        <v>30</v>
      </c>
      <c r="K38" s="220"/>
      <c r="L38" s="220"/>
      <c r="M38" s="221"/>
      <c r="N38" s="93">
        <v>4.92</v>
      </c>
    </row>
    <row r="39" spans="2:14" s="22" customFormat="1" ht="15.75" customHeight="1" x14ac:dyDescent="0.2">
      <c r="B39" s="222" t="s">
        <v>48</v>
      </c>
      <c r="C39" s="223"/>
      <c r="D39" s="223"/>
      <c r="E39" s="223"/>
      <c r="F39" s="223"/>
      <c r="G39" s="224"/>
      <c r="H39" s="90"/>
      <c r="J39" s="219" t="s">
        <v>31</v>
      </c>
      <c r="K39" s="220"/>
      <c r="L39" s="220"/>
      <c r="M39" s="221"/>
      <c r="N39" s="94">
        <v>0.56679999999999997</v>
      </c>
    </row>
    <row r="40" spans="2:14" s="22" customFormat="1" ht="15.75" thickBot="1" x14ac:dyDescent="0.25">
      <c r="B40" s="225" t="s">
        <v>35</v>
      </c>
      <c r="C40" s="226"/>
      <c r="D40" s="226"/>
      <c r="E40" s="226"/>
      <c r="F40" s="226"/>
      <c r="G40" s="227"/>
      <c r="H40" s="90"/>
      <c r="J40" s="219" t="s">
        <v>33</v>
      </c>
      <c r="K40" s="220"/>
      <c r="L40" s="220"/>
      <c r="M40" s="221"/>
      <c r="N40" s="92">
        <v>99.29</v>
      </c>
    </row>
    <row r="41" spans="2:14" s="22" customFormat="1" ht="15.75" x14ac:dyDescent="0.25">
      <c r="J41" s="213" t="s">
        <v>37</v>
      </c>
      <c r="K41" s="214"/>
      <c r="L41" s="214"/>
      <c r="M41" s="215"/>
      <c r="N41" s="92">
        <v>-2629.92</v>
      </c>
    </row>
    <row r="42" spans="2:14" s="22" customFormat="1" ht="10.15" customHeight="1" x14ac:dyDescent="0.2">
      <c r="J42" s="75"/>
      <c r="L42" s="76"/>
    </row>
    <row r="43" spans="2:14" s="22" customFormat="1" ht="10.15" customHeight="1" x14ac:dyDescent="0.2">
      <c r="B43" s="204" t="s">
        <v>41</v>
      </c>
      <c r="C43" s="205"/>
      <c r="D43" s="205"/>
      <c r="E43" s="205"/>
      <c r="F43" s="205"/>
      <c r="G43" s="205"/>
      <c r="H43" s="205"/>
      <c r="I43" s="205"/>
      <c r="J43" s="205"/>
      <c r="K43" s="205"/>
      <c r="L43" s="205"/>
      <c r="M43" s="205"/>
      <c r="N43" s="206"/>
    </row>
    <row r="44" spans="2:14" s="22" customFormat="1" ht="10.15" customHeight="1" x14ac:dyDescent="0.2">
      <c r="B44" s="207"/>
      <c r="C44" s="208"/>
      <c r="D44" s="208"/>
      <c r="E44" s="208"/>
      <c r="F44" s="208"/>
      <c r="G44" s="208"/>
      <c r="H44" s="208"/>
      <c r="I44" s="208"/>
      <c r="J44" s="208"/>
      <c r="K44" s="208"/>
      <c r="L44" s="208"/>
      <c r="M44" s="208"/>
      <c r="N44" s="209"/>
    </row>
    <row r="45" spans="2:14" s="22" customFormat="1" ht="10.15" customHeight="1" x14ac:dyDescent="0.2">
      <c r="B45" s="207"/>
      <c r="C45" s="208"/>
      <c r="D45" s="208"/>
      <c r="E45" s="208"/>
      <c r="F45" s="208"/>
      <c r="G45" s="208"/>
      <c r="H45" s="208"/>
      <c r="I45" s="208"/>
      <c r="J45" s="208"/>
      <c r="K45" s="208"/>
      <c r="L45" s="208"/>
      <c r="M45" s="208"/>
      <c r="N45" s="209"/>
    </row>
    <row r="46" spans="2:14" s="22" customFormat="1" ht="10.15" customHeight="1" x14ac:dyDescent="0.2">
      <c r="B46" s="207"/>
      <c r="C46" s="208"/>
      <c r="D46" s="208"/>
      <c r="E46" s="208"/>
      <c r="F46" s="208"/>
      <c r="G46" s="208"/>
      <c r="H46" s="208"/>
      <c r="I46" s="208"/>
      <c r="J46" s="208"/>
      <c r="K46" s="208"/>
      <c r="L46" s="208"/>
      <c r="M46" s="208"/>
      <c r="N46" s="209"/>
    </row>
    <row r="47" spans="2:14" s="22" customFormat="1" ht="10.15" customHeight="1" x14ac:dyDescent="0.2">
      <c r="B47" s="207"/>
      <c r="C47" s="208"/>
      <c r="D47" s="208"/>
      <c r="E47" s="208"/>
      <c r="F47" s="208"/>
      <c r="G47" s="208"/>
      <c r="H47" s="208"/>
      <c r="I47" s="208"/>
      <c r="J47" s="208"/>
      <c r="K47" s="208"/>
      <c r="L47" s="208"/>
      <c r="M47" s="208"/>
      <c r="N47" s="209"/>
    </row>
    <row r="48" spans="2:14" s="22" customFormat="1" ht="10.15" customHeight="1" x14ac:dyDescent="0.2">
      <c r="B48" s="207"/>
      <c r="C48" s="208"/>
      <c r="D48" s="208"/>
      <c r="E48" s="208"/>
      <c r="F48" s="208"/>
      <c r="G48" s="208"/>
      <c r="H48" s="208"/>
      <c r="I48" s="208"/>
      <c r="J48" s="208"/>
      <c r="K48" s="208"/>
      <c r="L48" s="208"/>
      <c r="M48" s="208"/>
      <c r="N48" s="209"/>
    </row>
    <row r="49" spans="2:14" s="22" customFormat="1" ht="10.15" customHeight="1" x14ac:dyDescent="0.2">
      <c r="B49" s="210"/>
      <c r="C49" s="211"/>
      <c r="D49" s="211"/>
      <c r="E49" s="211"/>
      <c r="F49" s="211"/>
      <c r="G49" s="211"/>
      <c r="H49" s="211"/>
      <c r="I49" s="211"/>
      <c r="J49" s="211"/>
      <c r="K49" s="211"/>
      <c r="L49" s="211"/>
      <c r="M49" s="211"/>
      <c r="N49" s="212"/>
    </row>
    <row r="50" spans="2:14" s="22" customFormat="1" ht="10.15" customHeight="1" x14ac:dyDescent="0.2">
      <c r="J50" s="75"/>
      <c r="L50" s="76"/>
    </row>
    <row r="51" spans="2:14" s="22" customFormat="1" ht="10.15" customHeight="1" x14ac:dyDescent="0.2">
      <c r="J51" s="75"/>
      <c r="L51" s="76"/>
    </row>
    <row r="52" spans="2:14" s="22" customFormat="1" ht="10.15" customHeight="1" x14ac:dyDescent="0.2">
      <c r="J52" s="75"/>
      <c r="L52" s="76"/>
    </row>
  </sheetData>
  <mergeCells count="43">
    <mergeCell ref="B43:N49"/>
    <mergeCell ref="J41:M41"/>
    <mergeCell ref="J35:N35"/>
    <mergeCell ref="J36:M36"/>
    <mergeCell ref="J37:M37"/>
    <mergeCell ref="J38:M38"/>
    <mergeCell ref="J39:M39"/>
    <mergeCell ref="J40:M40"/>
    <mergeCell ref="B39:G39"/>
    <mergeCell ref="B40:G40"/>
    <mergeCell ref="B37:G37"/>
    <mergeCell ref="B38:G38"/>
    <mergeCell ref="B36:G36"/>
    <mergeCell ref="J32:M32"/>
    <mergeCell ref="B35:G35"/>
    <mergeCell ref="C32:D32"/>
    <mergeCell ref="E32:F32"/>
    <mergeCell ref="C29:D29"/>
    <mergeCell ref="E29:F29"/>
    <mergeCell ref="J29:M29"/>
    <mergeCell ref="C30:D30"/>
    <mergeCell ref="E30:F30"/>
    <mergeCell ref="J30:M30"/>
    <mergeCell ref="J31:M31"/>
    <mergeCell ref="B31:G31"/>
    <mergeCell ref="B6:C6"/>
    <mergeCell ref="D6:G6"/>
    <mergeCell ref="K6:L6"/>
    <mergeCell ref="M6:N6"/>
    <mergeCell ref="B8:G8"/>
    <mergeCell ref="I8:L8"/>
    <mergeCell ref="M8:N8"/>
    <mergeCell ref="B27:G27"/>
    <mergeCell ref="J27:N27"/>
    <mergeCell ref="C28:D28"/>
    <mergeCell ref="E28:F28"/>
    <mergeCell ref="J28:M28"/>
    <mergeCell ref="B1:N1"/>
    <mergeCell ref="B2:N2"/>
    <mergeCell ref="B5:C5"/>
    <mergeCell ref="D5:G5"/>
    <mergeCell ref="K5:L5"/>
    <mergeCell ref="M5:N5"/>
  </mergeCells>
  <phoneticPr fontId="0" type="noConversion"/>
  <pageMargins left="0.7" right="0.7" top="0.75" bottom="0.75" header="0.3" footer="0.3"/>
  <pageSetup scale="6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500AB-7F3F-4DE6-B950-05E9BDCD1449}">
  <sheetPr>
    <pageSetUpPr fitToPage="1"/>
  </sheetPr>
  <dimension ref="C1:K34"/>
  <sheetViews>
    <sheetView workbookViewId="0">
      <selection activeCell="C11" sqref="C11"/>
    </sheetView>
  </sheetViews>
  <sheetFormatPr defaultRowHeight="15" x14ac:dyDescent="0.25"/>
  <cols>
    <col min="3" max="3" width="31.140625" style="16" customWidth="1"/>
    <col min="4" max="4" width="15.7109375" style="155" customWidth="1"/>
    <col min="5" max="5" width="12.85546875" style="155" customWidth="1"/>
    <col min="6" max="6" width="12.28515625" style="155" customWidth="1"/>
    <col min="7" max="7" width="13.5703125" style="155" customWidth="1"/>
    <col min="8" max="8" width="15.85546875" style="155" customWidth="1"/>
    <col min="9" max="9" width="15.85546875" style="156" customWidth="1"/>
    <col min="10" max="10" width="31.5703125" style="140" customWidth="1"/>
    <col min="11" max="11" width="0.28515625" style="16" hidden="1" customWidth="1"/>
    <col min="259" max="259" width="31.140625" customWidth="1"/>
    <col min="260" max="260" width="15.7109375" customWidth="1"/>
    <col min="261" max="261" width="12.85546875" customWidth="1"/>
    <col min="262" max="262" width="12.28515625" customWidth="1"/>
    <col min="263" max="263" width="13.5703125" customWidth="1"/>
    <col min="264" max="265" width="15.85546875" customWidth="1"/>
    <col min="266" max="266" width="31.5703125" customWidth="1"/>
    <col min="267" max="267" width="0" hidden="1" customWidth="1"/>
    <col min="515" max="515" width="31.140625" customWidth="1"/>
    <col min="516" max="516" width="15.7109375" customWidth="1"/>
    <col min="517" max="517" width="12.85546875" customWidth="1"/>
    <col min="518" max="518" width="12.28515625" customWidth="1"/>
    <col min="519" max="519" width="13.5703125" customWidth="1"/>
    <col min="520" max="521" width="15.85546875" customWidth="1"/>
    <col min="522" max="522" width="31.5703125" customWidth="1"/>
    <col min="523" max="523" width="0" hidden="1" customWidth="1"/>
    <col min="771" max="771" width="31.140625" customWidth="1"/>
    <col min="772" max="772" width="15.7109375" customWidth="1"/>
    <col min="773" max="773" width="12.85546875" customWidth="1"/>
    <col min="774" max="774" width="12.28515625" customWidth="1"/>
    <col min="775" max="775" width="13.5703125" customWidth="1"/>
    <col min="776" max="777" width="15.85546875" customWidth="1"/>
    <col min="778" max="778" width="31.5703125" customWidth="1"/>
    <col min="779" max="779" width="0" hidden="1" customWidth="1"/>
    <col min="1027" max="1027" width="31.140625" customWidth="1"/>
    <col min="1028" max="1028" width="15.7109375" customWidth="1"/>
    <col min="1029" max="1029" width="12.85546875" customWidth="1"/>
    <col min="1030" max="1030" width="12.28515625" customWidth="1"/>
    <col min="1031" max="1031" width="13.5703125" customWidth="1"/>
    <col min="1032" max="1033" width="15.85546875" customWidth="1"/>
    <col min="1034" max="1034" width="31.5703125" customWidth="1"/>
    <col min="1035" max="1035" width="0" hidden="1" customWidth="1"/>
    <col min="1283" max="1283" width="31.140625" customWidth="1"/>
    <col min="1284" max="1284" width="15.7109375" customWidth="1"/>
    <col min="1285" max="1285" width="12.85546875" customWidth="1"/>
    <col min="1286" max="1286" width="12.28515625" customWidth="1"/>
    <col min="1287" max="1287" width="13.5703125" customWidth="1"/>
    <col min="1288" max="1289" width="15.85546875" customWidth="1"/>
    <col min="1290" max="1290" width="31.5703125" customWidth="1"/>
    <col min="1291" max="1291" width="0" hidden="1" customWidth="1"/>
    <col min="1539" max="1539" width="31.140625" customWidth="1"/>
    <col min="1540" max="1540" width="15.7109375" customWidth="1"/>
    <col min="1541" max="1541" width="12.85546875" customWidth="1"/>
    <col min="1542" max="1542" width="12.28515625" customWidth="1"/>
    <col min="1543" max="1543" width="13.5703125" customWidth="1"/>
    <col min="1544" max="1545" width="15.85546875" customWidth="1"/>
    <col min="1546" max="1546" width="31.5703125" customWidth="1"/>
    <col min="1547" max="1547" width="0" hidden="1" customWidth="1"/>
    <col min="1795" max="1795" width="31.140625" customWidth="1"/>
    <col min="1796" max="1796" width="15.7109375" customWidth="1"/>
    <col min="1797" max="1797" width="12.85546875" customWidth="1"/>
    <col min="1798" max="1798" width="12.28515625" customWidth="1"/>
    <col min="1799" max="1799" width="13.5703125" customWidth="1"/>
    <col min="1800" max="1801" width="15.85546875" customWidth="1"/>
    <col min="1802" max="1802" width="31.5703125" customWidth="1"/>
    <col min="1803" max="1803" width="0" hidden="1" customWidth="1"/>
    <col min="2051" max="2051" width="31.140625" customWidth="1"/>
    <col min="2052" max="2052" width="15.7109375" customWidth="1"/>
    <col min="2053" max="2053" width="12.85546875" customWidth="1"/>
    <col min="2054" max="2054" width="12.28515625" customWidth="1"/>
    <col min="2055" max="2055" width="13.5703125" customWidth="1"/>
    <col min="2056" max="2057" width="15.85546875" customWidth="1"/>
    <col min="2058" max="2058" width="31.5703125" customWidth="1"/>
    <col min="2059" max="2059" width="0" hidden="1" customWidth="1"/>
    <col min="2307" max="2307" width="31.140625" customWidth="1"/>
    <col min="2308" max="2308" width="15.7109375" customWidth="1"/>
    <col min="2309" max="2309" width="12.85546875" customWidth="1"/>
    <col min="2310" max="2310" width="12.28515625" customWidth="1"/>
    <col min="2311" max="2311" width="13.5703125" customWidth="1"/>
    <col min="2312" max="2313" width="15.85546875" customWidth="1"/>
    <col min="2314" max="2314" width="31.5703125" customWidth="1"/>
    <col min="2315" max="2315" width="0" hidden="1" customWidth="1"/>
    <col min="2563" max="2563" width="31.140625" customWidth="1"/>
    <col min="2564" max="2564" width="15.7109375" customWidth="1"/>
    <col min="2565" max="2565" width="12.85546875" customWidth="1"/>
    <col min="2566" max="2566" width="12.28515625" customWidth="1"/>
    <col min="2567" max="2567" width="13.5703125" customWidth="1"/>
    <col min="2568" max="2569" width="15.85546875" customWidth="1"/>
    <col min="2570" max="2570" width="31.5703125" customWidth="1"/>
    <col min="2571" max="2571" width="0" hidden="1" customWidth="1"/>
    <col min="2819" max="2819" width="31.140625" customWidth="1"/>
    <col min="2820" max="2820" width="15.7109375" customWidth="1"/>
    <col min="2821" max="2821" width="12.85546875" customWidth="1"/>
    <col min="2822" max="2822" width="12.28515625" customWidth="1"/>
    <col min="2823" max="2823" width="13.5703125" customWidth="1"/>
    <col min="2824" max="2825" width="15.85546875" customWidth="1"/>
    <col min="2826" max="2826" width="31.5703125" customWidth="1"/>
    <col min="2827" max="2827" width="0" hidden="1" customWidth="1"/>
    <col min="3075" max="3075" width="31.140625" customWidth="1"/>
    <col min="3076" max="3076" width="15.7109375" customWidth="1"/>
    <col min="3077" max="3077" width="12.85546875" customWidth="1"/>
    <col min="3078" max="3078" width="12.28515625" customWidth="1"/>
    <col min="3079" max="3079" width="13.5703125" customWidth="1"/>
    <col min="3080" max="3081" width="15.85546875" customWidth="1"/>
    <col min="3082" max="3082" width="31.5703125" customWidth="1"/>
    <col min="3083" max="3083" width="0" hidden="1" customWidth="1"/>
    <col min="3331" max="3331" width="31.140625" customWidth="1"/>
    <col min="3332" max="3332" width="15.7109375" customWidth="1"/>
    <col min="3333" max="3333" width="12.85546875" customWidth="1"/>
    <col min="3334" max="3334" width="12.28515625" customWidth="1"/>
    <col min="3335" max="3335" width="13.5703125" customWidth="1"/>
    <col min="3336" max="3337" width="15.85546875" customWidth="1"/>
    <col min="3338" max="3338" width="31.5703125" customWidth="1"/>
    <col min="3339" max="3339" width="0" hidden="1" customWidth="1"/>
    <col min="3587" max="3587" width="31.140625" customWidth="1"/>
    <col min="3588" max="3588" width="15.7109375" customWidth="1"/>
    <col min="3589" max="3589" width="12.85546875" customWidth="1"/>
    <col min="3590" max="3590" width="12.28515625" customWidth="1"/>
    <col min="3591" max="3591" width="13.5703125" customWidth="1"/>
    <col min="3592" max="3593" width="15.85546875" customWidth="1"/>
    <col min="3594" max="3594" width="31.5703125" customWidth="1"/>
    <col min="3595" max="3595" width="0" hidden="1" customWidth="1"/>
    <col min="3843" max="3843" width="31.140625" customWidth="1"/>
    <col min="3844" max="3844" width="15.7109375" customWidth="1"/>
    <col min="3845" max="3845" width="12.85546875" customWidth="1"/>
    <col min="3846" max="3846" width="12.28515625" customWidth="1"/>
    <col min="3847" max="3847" width="13.5703125" customWidth="1"/>
    <col min="3848" max="3849" width="15.85546875" customWidth="1"/>
    <col min="3850" max="3850" width="31.5703125" customWidth="1"/>
    <col min="3851" max="3851" width="0" hidden="1" customWidth="1"/>
    <col min="4099" max="4099" width="31.140625" customWidth="1"/>
    <col min="4100" max="4100" width="15.7109375" customWidth="1"/>
    <col min="4101" max="4101" width="12.85546875" customWidth="1"/>
    <col min="4102" max="4102" width="12.28515625" customWidth="1"/>
    <col min="4103" max="4103" width="13.5703125" customWidth="1"/>
    <col min="4104" max="4105" width="15.85546875" customWidth="1"/>
    <col min="4106" max="4106" width="31.5703125" customWidth="1"/>
    <col min="4107" max="4107" width="0" hidden="1" customWidth="1"/>
    <col min="4355" max="4355" width="31.140625" customWidth="1"/>
    <col min="4356" max="4356" width="15.7109375" customWidth="1"/>
    <col min="4357" max="4357" width="12.85546875" customWidth="1"/>
    <col min="4358" max="4358" width="12.28515625" customWidth="1"/>
    <col min="4359" max="4359" width="13.5703125" customWidth="1"/>
    <col min="4360" max="4361" width="15.85546875" customWidth="1"/>
    <col min="4362" max="4362" width="31.5703125" customWidth="1"/>
    <col min="4363" max="4363" width="0" hidden="1" customWidth="1"/>
    <col min="4611" max="4611" width="31.140625" customWidth="1"/>
    <col min="4612" max="4612" width="15.7109375" customWidth="1"/>
    <col min="4613" max="4613" width="12.85546875" customWidth="1"/>
    <col min="4614" max="4614" width="12.28515625" customWidth="1"/>
    <col min="4615" max="4615" width="13.5703125" customWidth="1"/>
    <col min="4616" max="4617" width="15.85546875" customWidth="1"/>
    <col min="4618" max="4618" width="31.5703125" customWidth="1"/>
    <col min="4619" max="4619" width="0" hidden="1" customWidth="1"/>
    <col min="4867" max="4867" width="31.140625" customWidth="1"/>
    <col min="4868" max="4868" width="15.7109375" customWidth="1"/>
    <col min="4869" max="4869" width="12.85546875" customWidth="1"/>
    <col min="4870" max="4870" width="12.28515625" customWidth="1"/>
    <col min="4871" max="4871" width="13.5703125" customWidth="1"/>
    <col min="4872" max="4873" width="15.85546875" customWidth="1"/>
    <col min="4874" max="4874" width="31.5703125" customWidth="1"/>
    <col min="4875" max="4875" width="0" hidden="1" customWidth="1"/>
    <col min="5123" max="5123" width="31.140625" customWidth="1"/>
    <col min="5124" max="5124" width="15.7109375" customWidth="1"/>
    <col min="5125" max="5125" width="12.85546875" customWidth="1"/>
    <col min="5126" max="5126" width="12.28515625" customWidth="1"/>
    <col min="5127" max="5127" width="13.5703125" customWidth="1"/>
    <col min="5128" max="5129" width="15.85546875" customWidth="1"/>
    <col min="5130" max="5130" width="31.5703125" customWidth="1"/>
    <col min="5131" max="5131" width="0" hidden="1" customWidth="1"/>
    <col min="5379" max="5379" width="31.140625" customWidth="1"/>
    <col min="5380" max="5380" width="15.7109375" customWidth="1"/>
    <col min="5381" max="5381" width="12.85546875" customWidth="1"/>
    <col min="5382" max="5382" width="12.28515625" customWidth="1"/>
    <col min="5383" max="5383" width="13.5703125" customWidth="1"/>
    <col min="5384" max="5385" width="15.85546875" customWidth="1"/>
    <col min="5386" max="5386" width="31.5703125" customWidth="1"/>
    <col min="5387" max="5387" width="0" hidden="1" customWidth="1"/>
    <col min="5635" max="5635" width="31.140625" customWidth="1"/>
    <col min="5636" max="5636" width="15.7109375" customWidth="1"/>
    <col min="5637" max="5637" width="12.85546875" customWidth="1"/>
    <col min="5638" max="5638" width="12.28515625" customWidth="1"/>
    <col min="5639" max="5639" width="13.5703125" customWidth="1"/>
    <col min="5640" max="5641" width="15.85546875" customWidth="1"/>
    <col min="5642" max="5642" width="31.5703125" customWidth="1"/>
    <col min="5643" max="5643" width="0" hidden="1" customWidth="1"/>
    <col min="5891" max="5891" width="31.140625" customWidth="1"/>
    <col min="5892" max="5892" width="15.7109375" customWidth="1"/>
    <col min="5893" max="5893" width="12.85546875" customWidth="1"/>
    <col min="5894" max="5894" width="12.28515625" customWidth="1"/>
    <col min="5895" max="5895" width="13.5703125" customWidth="1"/>
    <col min="5896" max="5897" width="15.85546875" customWidth="1"/>
    <col min="5898" max="5898" width="31.5703125" customWidth="1"/>
    <col min="5899" max="5899" width="0" hidden="1" customWidth="1"/>
    <col min="6147" max="6147" width="31.140625" customWidth="1"/>
    <col min="6148" max="6148" width="15.7109375" customWidth="1"/>
    <col min="6149" max="6149" width="12.85546875" customWidth="1"/>
    <col min="6150" max="6150" width="12.28515625" customWidth="1"/>
    <col min="6151" max="6151" width="13.5703125" customWidth="1"/>
    <col min="6152" max="6153" width="15.85546875" customWidth="1"/>
    <col min="6154" max="6154" width="31.5703125" customWidth="1"/>
    <col min="6155" max="6155" width="0" hidden="1" customWidth="1"/>
    <col min="6403" max="6403" width="31.140625" customWidth="1"/>
    <col min="6404" max="6404" width="15.7109375" customWidth="1"/>
    <col min="6405" max="6405" width="12.85546875" customWidth="1"/>
    <col min="6406" max="6406" width="12.28515625" customWidth="1"/>
    <col min="6407" max="6407" width="13.5703125" customWidth="1"/>
    <col min="6408" max="6409" width="15.85546875" customWidth="1"/>
    <col min="6410" max="6410" width="31.5703125" customWidth="1"/>
    <col min="6411" max="6411" width="0" hidden="1" customWidth="1"/>
    <col min="6659" max="6659" width="31.140625" customWidth="1"/>
    <col min="6660" max="6660" width="15.7109375" customWidth="1"/>
    <col min="6661" max="6661" width="12.85546875" customWidth="1"/>
    <col min="6662" max="6662" width="12.28515625" customWidth="1"/>
    <col min="6663" max="6663" width="13.5703125" customWidth="1"/>
    <col min="6664" max="6665" width="15.85546875" customWidth="1"/>
    <col min="6666" max="6666" width="31.5703125" customWidth="1"/>
    <col min="6667" max="6667" width="0" hidden="1" customWidth="1"/>
    <col min="6915" max="6915" width="31.140625" customWidth="1"/>
    <col min="6916" max="6916" width="15.7109375" customWidth="1"/>
    <col min="6917" max="6917" width="12.85546875" customWidth="1"/>
    <col min="6918" max="6918" width="12.28515625" customWidth="1"/>
    <col min="6919" max="6919" width="13.5703125" customWidth="1"/>
    <col min="6920" max="6921" width="15.85546875" customWidth="1"/>
    <col min="6922" max="6922" width="31.5703125" customWidth="1"/>
    <col min="6923" max="6923" width="0" hidden="1" customWidth="1"/>
    <col min="7171" max="7171" width="31.140625" customWidth="1"/>
    <col min="7172" max="7172" width="15.7109375" customWidth="1"/>
    <col min="7173" max="7173" width="12.85546875" customWidth="1"/>
    <col min="7174" max="7174" width="12.28515625" customWidth="1"/>
    <col min="7175" max="7175" width="13.5703125" customWidth="1"/>
    <col min="7176" max="7177" width="15.85546875" customWidth="1"/>
    <col min="7178" max="7178" width="31.5703125" customWidth="1"/>
    <col min="7179" max="7179" width="0" hidden="1" customWidth="1"/>
    <col min="7427" max="7427" width="31.140625" customWidth="1"/>
    <col min="7428" max="7428" width="15.7109375" customWidth="1"/>
    <col min="7429" max="7429" width="12.85546875" customWidth="1"/>
    <col min="7430" max="7430" width="12.28515625" customWidth="1"/>
    <col min="7431" max="7431" width="13.5703125" customWidth="1"/>
    <col min="7432" max="7433" width="15.85546875" customWidth="1"/>
    <col min="7434" max="7434" width="31.5703125" customWidth="1"/>
    <col min="7435" max="7435" width="0" hidden="1" customWidth="1"/>
    <col min="7683" max="7683" width="31.140625" customWidth="1"/>
    <col min="7684" max="7684" width="15.7109375" customWidth="1"/>
    <col min="7685" max="7685" width="12.85546875" customWidth="1"/>
    <col min="7686" max="7686" width="12.28515625" customWidth="1"/>
    <col min="7687" max="7687" width="13.5703125" customWidth="1"/>
    <col min="7688" max="7689" width="15.85546875" customWidth="1"/>
    <col min="7690" max="7690" width="31.5703125" customWidth="1"/>
    <col min="7691" max="7691" width="0" hidden="1" customWidth="1"/>
    <col min="7939" max="7939" width="31.140625" customWidth="1"/>
    <col min="7940" max="7940" width="15.7109375" customWidth="1"/>
    <col min="7941" max="7941" width="12.85546875" customWidth="1"/>
    <col min="7942" max="7942" width="12.28515625" customWidth="1"/>
    <col min="7943" max="7943" width="13.5703125" customWidth="1"/>
    <col min="7944" max="7945" width="15.85546875" customWidth="1"/>
    <col min="7946" max="7946" width="31.5703125" customWidth="1"/>
    <col min="7947" max="7947" width="0" hidden="1" customWidth="1"/>
    <col min="8195" max="8195" width="31.140625" customWidth="1"/>
    <col min="8196" max="8196" width="15.7109375" customWidth="1"/>
    <col min="8197" max="8197" width="12.85546875" customWidth="1"/>
    <col min="8198" max="8198" width="12.28515625" customWidth="1"/>
    <col min="8199" max="8199" width="13.5703125" customWidth="1"/>
    <col min="8200" max="8201" width="15.85546875" customWidth="1"/>
    <col min="8202" max="8202" width="31.5703125" customWidth="1"/>
    <col min="8203" max="8203" width="0" hidden="1" customWidth="1"/>
    <col min="8451" max="8451" width="31.140625" customWidth="1"/>
    <col min="8452" max="8452" width="15.7109375" customWidth="1"/>
    <col min="8453" max="8453" width="12.85546875" customWidth="1"/>
    <col min="8454" max="8454" width="12.28515625" customWidth="1"/>
    <col min="8455" max="8455" width="13.5703125" customWidth="1"/>
    <col min="8456" max="8457" width="15.85546875" customWidth="1"/>
    <col min="8458" max="8458" width="31.5703125" customWidth="1"/>
    <col min="8459" max="8459" width="0" hidden="1" customWidth="1"/>
    <col min="8707" max="8707" width="31.140625" customWidth="1"/>
    <col min="8708" max="8708" width="15.7109375" customWidth="1"/>
    <col min="8709" max="8709" width="12.85546875" customWidth="1"/>
    <col min="8710" max="8710" width="12.28515625" customWidth="1"/>
    <col min="8711" max="8711" width="13.5703125" customWidth="1"/>
    <col min="8712" max="8713" width="15.85546875" customWidth="1"/>
    <col min="8714" max="8714" width="31.5703125" customWidth="1"/>
    <col min="8715" max="8715" width="0" hidden="1" customWidth="1"/>
    <col min="8963" max="8963" width="31.140625" customWidth="1"/>
    <col min="8964" max="8964" width="15.7109375" customWidth="1"/>
    <col min="8965" max="8965" width="12.85546875" customWidth="1"/>
    <col min="8966" max="8966" width="12.28515625" customWidth="1"/>
    <col min="8967" max="8967" width="13.5703125" customWidth="1"/>
    <col min="8968" max="8969" width="15.85546875" customWidth="1"/>
    <col min="8970" max="8970" width="31.5703125" customWidth="1"/>
    <col min="8971" max="8971" width="0" hidden="1" customWidth="1"/>
    <col min="9219" max="9219" width="31.140625" customWidth="1"/>
    <col min="9220" max="9220" width="15.7109375" customWidth="1"/>
    <col min="9221" max="9221" width="12.85546875" customWidth="1"/>
    <col min="9222" max="9222" width="12.28515625" customWidth="1"/>
    <col min="9223" max="9223" width="13.5703125" customWidth="1"/>
    <col min="9224" max="9225" width="15.85546875" customWidth="1"/>
    <col min="9226" max="9226" width="31.5703125" customWidth="1"/>
    <col min="9227" max="9227" width="0" hidden="1" customWidth="1"/>
    <col min="9475" max="9475" width="31.140625" customWidth="1"/>
    <col min="9476" max="9476" width="15.7109375" customWidth="1"/>
    <col min="9477" max="9477" width="12.85546875" customWidth="1"/>
    <col min="9478" max="9478" width="12.28515625" customWidth="1"/>
    <col min="9479" max="9479" width="13.5703125" customWidth="1"/>
    <col min="9480" max="9481" width="15.85546875" customWidth="1"/>
    <col min="9482" max="9482" width="31.5703125" customWidth="1"/>
    <col min="9483" max="9483" width="0" hidden="1" customWidth="1"/>
    <col min="9731" max="9731" width="31.140625" customWidth="1"/>
    <col min="9732" max="9732" width="15.7109375" customWidth="1"/>
    <col min="9733" max="9733" width="12.85546875" customWidth="1"/>
    <col min="9734" max="9734" width="12.28515625" customWidth="1"/>
    <col min="9735" max="9735" width="13.5703125" customWidth="1"/>
    <col min="9736" max="9737" width="15.85546875" customWidth="1"/>
    <col min="9738" max="9738" width="31.5703125" customWidth="1"/>
    <col min="9739" max="9739" width="0" hidden="1" customWidth="1"/>
    <col min="9987" max="9987" width="31.140625" customWidth="1"/>
    <col min="9988" max="9988" width="15.7109375" customWidth="1"/>
    <col min="9989" max="9989" width="12.85546875" customWidth="1"/>
    <col min="9990" max="9990" width="12.28515625" customWidth="1"/>
    <col min="9991" max="9991" width="13.5703125" customWidth="1"/>
    <col min="9992" max="9993" width="15.85546875" customWidth="1"/>
    <col min="9994" max="9994" width="31.5703125" customWidth="1"/>
    <col min="9995" max="9995" width="0" hidden="1" customWidth="1"/>
    <col min="10243" max="10243" width="31.140625" customWidth="1"/>
    <col min="10244" max="10244" width="15.7109375" customWidth="1"/>
    <col min="10245" max="10245" width="12.85546875" customWidth="1"/>
    <col min="10246" max="10246" width="12.28515625" customWidth="1"/>
    <col min="10247" max="10247" width="13.5703125" customWidth="1"/>
    <col min="10248" max="10249" width="15.85546875" customWidth="1"/>
    <col min="10250" max="10250" width="31.5703125" customWidth="1"/>
    <col min="10251" max="10251" width="0" hidden="1" customWidth="1"/>
    <col min="10499" max="10499" width="31.140625" customWidth="1"/>
    <col min="10500" max="10500" width="15.7109375" customWidth="1"/>
    <col min="10501" max="10501" width="12.85546875" customWidth="1"/>
    <col min="10502" max="10502" width="12.28515625" customWidth="1"/>
    <col min="10503" max="10503" width="13.5703125" customWidth="1"/>
    <col min="10504" max="10505" width="15.85546875" customWidth="1"/>
    <col min="10506" max="10506" width="31.5703125" customWidth="1"/>
    <col min="10507" max="10507" width="0" hidden="1" customWidth="1"/>
    <col min="10755" max="10755" width="31.140625" customWidth="1"/>
    <col min="10756" max="10756" width="15.7109375" customWidth="1"/>
    <col min="10757" max="10757" width="12.85546875" customWidth="1"/>
    <col min="10758" max="10758" width="12.28515625" customWidth="1"/>
    <col min="10759" max="10759" width="13.5703125" customWidth="1"/>
    <col min="10760" max="10761" width="15.85546875" customWidth="1"/>
    <col min="10762" max="10762" width="31.5703125" customWidth="1"/>
    <col min="10763" max="10763" width="0" hidden="1" customWidth="1"/>
    <col min="11011" max="11011" width="31.140625" customWidth="1"/>
    <col min="11012" max="11012" width="15.7109375" customWidth="1"/>
    <col min="11013" max="11013" width="12.85546875" customWidth="1"/>
    <col min="11014" max="11014" width="12.28515625" customWidth="1"/>
    <col min="11015" max="11015" width="13.5703125" customWidth="1"/>
    <col min="11016" max="11017" width="15.85546875" customWidth="1"/>
    <col min="11018" max="11018" width="31.5703125" customWidth="1"/>
    <col min="11019" max="11019" width="0" hidden="1" customWidth="1"/>
    <col min="11267" max="11267" width="31.140625" customWidth="1"/>
    <col min="11268" max="11268" width="15.7109375" customWidth="1"/>
    <col min="11269" max="11269" width="12.85546875" customWidth="1"/>
    <col min="11270" max="11270" width="12.28515625" customWidth="1"/>
    <col min="11271" max="11271" width="13.5703125" customWidth="1"/>
    <col min="11272" max="11273" width="15.85546875" customWidth="1"/>
    <col min="11274" max="11274" width="31.5703125" customWidth="1"/>
    <col min="11275" max="11275" width="0" hidden="1" customWidth="1"/>
    <col min="11523" max="11523" width="31.140625" customWidth="1"/>
    <col min="11524" max="11524" width="15.7109375" customWidth="1"/>
    <col min="11525" max="11525" width="12.85546875" customWidth="1"/>
    <col min="11526" max="11526" width="12.28515625" customWidth="1"/>
    <col min="11527" max="11527" width="13.5703125" customWidth="1"/>
    <col min="11528" max="11529" width="15.85546875" customWidth="1"/>
    <col min="11530" max="11530" width="31.5703125" customWidth="1"/>
    <col min="11531" max="11531" width="0" hidden="1" customWidth="1"/>
    <col min="11779" max="11779" width="31.140625" customWidth="1"/>
    <col min="11780" max="11780" width="15.7109375" customWidth="1"/>
    <col min="11781" max="11781" width="12.85546875" customWidth="1"/>
    <col min="11782" max="11782" width="12.28515625" customWidth="1"/>
    <col min="11783" max="11783" width="13.5703125" customWidth="1"/>
    <col min="11784" max="11785" width="15.85546875" customWidth="1"/>
    <col min="11786" max="11786" width="31.5703125" customWidth="1"/>
    <col min="11787" max="11787" width="0" hidden="1" customWidth="1"/>
    <col min="12035" max="12035" width="31.140625" customWidth="1"/>
    <col min="12036" max="12036" width="15.7109375" customWidth="1"/>
    <col min="12037" max="12037" width="12.85546875" customWidth="1"/>
    <col min="12038" max="12038" width="12.28515625" customWidth="1"/>
    <col min="12039" max="12039" width="13.5703125" customWidth="1"/>
    <col min="12040" max="12041" width="15.85546875" customWidth="1"/>
    <col min="12042" max="12042" width="31.5703125" customWidth="1"/>
    <col min="12043" max="12043" width="0" hidden="1" customWidth="1"/>
    <col min="12291" max="12291" width="31.140625" customWidth="1"/>
    <col min="12292" max="12292" width="15.7109375" customWidth="1"/>
    <col min="12293" max="12293" width="12.85546875" customWidth="1"/>
    <col min="12294" max="12294" width="12.28515625" customWidth="1"/>
    <col min="12295" max="12295" width="13.5703125" customWidth="1"/>
    <col min="12296" max="12297" width="15.85546875" customWidth="1"/>
    <col min="12298" max="12298" width="31.5703125" customWidth="1"/>
    <col min="12299" max="12299" width="0" hidden="1" customWidth="1"/>
    <col min="12547" max="12547" width="31.140625" customWidth="1"/>
    <col min="12548" max="12548" width="15.7109375" customWidth="1"/>
    <col min="12549" max="12549" width="12.85546875" customWidth="1"/>
    <col min="12550" max="12550" width="12.28515625" customWidth="1"/>
    <col min="12551" max="12551" width="13.5703125" customWidth="1"/>
    <col min="12552" max="12553" width="15.85546875" customWidth="1"/>
    <col min="12554" max="12554" width="31.5703125" customWidth="1"/>
    <col min="12555" max="12555" width="0" hidden="1" customWidth="1"/>
    <col min="12803" max="12803" width="31.140625" customWidth="1"/>
    <col min="12804" max="12804" width="15.7109375" customWidth="1"/>
    <col min="12805" max="12805" width="12.85546875" customWidth="1"/>
    <col min="12806" max="12806" width="12.28515625" customWidth="1"/>
    <col min="12807" max="12807" width="13.5703125" customWidth="1"/>
    <col min="12808" max="12809" width="15.85546875" customWidth="1"/>
    <col min="12810" max="12810" width="31.5703125" customWidth="1"/>
    <col min="12811" max="12811" width="0" hidden="1" customWidth="1"/>
    <col min="13059" max="13059" width="31.140625" customWidth="1"/>
    <col min="13060" max="13060" width="15.7109375" customWidth="1"/>
    <col min="13061" max="13061" width="12.85546875" customWidth="1"/>
    <col min="13062" max="13062" width="12.28515625" customWidth="1"/>
    <col min="13063" max="13063" width="13.5703125" customWidth="1"/>
    <col min="13064" max="13065" width="15.85546875" customWidth="1"/>
    <col min="13066" max="13066" width="31.5703125" customWidth="1"/>
    <col min="13067" max="13067" width="0" hidden="1" customWidth="1"/>
    <col min="13315" max="13315" width="31.140625" customWidth="1"/>
    <col min="13316" max="13316" width="15.7109375" customWidth="1"/>
    <col min="13317" max="13317" width="12.85546875" customWidth="1"/>
    <col min="13318" max="13318" width="12.28515625" customWidth="1"/>
    <col min="13319" max="13319" width="13.5703125" customWidth="1"/>
    <col min="13320" max="13321" width="15.85546875" customWidth="1"/>
    <col min="13322" max="13322" width="31.5703125" customWidth="1"/>
    <col min="13323" max="13323" width="0" hidden="1" customWidth="1"/>
    <col min="13571" max="13571" width="31.140625" customWidth="1"/>
    <col min="13572" max="13572" width="15.7109375" customWidth="1"/>
    <col min="13573" max="13573" width="12.85546875" customWidth="1"/>
    <col min="13574" max="13574" width="12.28515625" customWidth="1"/>
    <col min="13575" max="13575" width="13.5703125" customWidth="1"/>
    <col min="13576" max="13577" width="15.85546875" customWidth="1"/>
    <col min="13578" max="13578" width="31.5703125" customWidth="1"/>
    <col min="13579" max="13579" width="0" hidden="1" customWidth="1"/>
    <col min="13827" max="13827" width="31.140625" customWidth="1"/>
    <col min="13828" max="13828" width="15.7109375" customWidth="1"/>
    <col min="13829" max="13829" width="12.85546875" customWidth="1"/>
    <col min="13830" max="13830" width="12.28515625" customWidth="1"/>
    <col min="13831" max="13831" width="13.5703125" customWidth="1"/>
    <col min="13832" max="13833" width="15.85546875" customWidth="1"/>
    <col min="13834" max="13834" width="31.5703125" customWidth="1"/>
    <col min="13835" max="13835" width="0" hidden="1" customWidth="1"/>
    <col min="14083" max="14083" width="31.140625" customWidth="1"/>
    <col min="14084" max="14084" width="15.7109375" customWidth="1"/>
    <col min="14085" max="14085" width="12.85546875" customWidth="1"/>
    <col min="14086" max="14086" width="12.28515625" customWidth="1"/>
    <col min="14087" max="14087" width="13.5703125" customWidth="1"/>
    <col min="14088" max="14089" width="15.85546875" customWidth="1"/>
    <col min="14090" max="14090" width="31.5703125" customWidth="1"/>
    <col min="14091" max="14091" width="0" hidden="1" customWidth="1"/>
    <col min="14339" max="14339" width="31.140625" customWidth="1"/>
    <col min="14340" max="14340" width="15.7109375" customWidth="1"/>
    <col min="14341" max="14341" width="12.85546875" customWidth="1"/>
    <col min="14342" max="14342" width="12.28515625" customWidth="1"/>
    <col min="14343" max="14343" width="13.5703125" customWidth="1"/>
    <col min="14344" max="14345" width="15.85546875" customWidth="1"/>
    <col min="14346" max="14346" width="31.5703125" customWidth="1"/>
    <col min="14347" max="14347" width="0" hidden="1" customWidth="1"/>
    <col min="14595" max="14595" width="31.140625" customWidth="1"/>
    <col min="14596" max="14596" width="15.7109375" customWidth="1"/>
    <col min="14597" max="14597" width="12.85546875" customWidth="1"/>
    <col min="14598" max="14598" width="12.28515625" customWidth="1"/>
    <col min="14599" max="14599" width="13.5703125" customWidth="1"/>
    <col min="14600" max="14601" width="15.85546875" customWidth="1"/>
    <col min="14602" max="14602" width="31.5703125" customWidth="1"/>
    <col min="14603" max="14603" width="0" hidden="1" customWidth="1"/>
    <col min="14851" max="14851" width="31.140625" customWidth="1"/>
    <col min="14852" max="14852" width="15.7109375" customWidth="1"/>
    <col min="14853" max="14853" width="12.85546875" customWidth="1"/>
    <col min="14854" max="14854" width="12.28515625" customWidth="1"/>
    <col min="14855" max="14855" width="13.5703125" customWidth="1"/>
    <col min="14856" max="14857" width="15.85546875" customWidth="1"/>
    <col min="14858" max="14858" width="31.5703125" customWidth="1"/>
    <col min="14859" max="14859" width="0" hidden="1" customWidth="1"/>
    <col min="15107" max="15107" width="31.140625" customWidth="1"/>
    <col min="15108" max="15108" width="15.7109375" customWidth="1"/>
    <col min="15109" max="15109" width="12.85546875" customWidth="1"/>
    <col min="15110" max="15110" width="12.28515625" customWidth="1"/>
    <col min="15111" max="15111" width="13.5703125" customWidth="1"/>
    <col min="15112" max="15113" width="15.85546875" customWidth="1"/>
    <col min="15114" max="15114" width="31.5703125" customWidth="1"/>
    <col min="15115" max="15115" width="0" hidden="1" customWidth="1"/>
    <col min="15363" max="15363" width="31.140625" customWidth="1"/>
    <col min="15364" max="15364" width="15.7109375" customWidth="1"/>
    <col min="15365" max="15365" width="12.85546875" customWidth="1"/>
    <col min="15366" max="15366" width="12.28515625" customWidth="1"/>
    <col min="15367" max="15367" width="13.5703125" customWidth="1"/>
    <col min="15368" max="15369" width="15.85546875" customWidth="1"/>
    <col min="15370" max="15370" width="31.5703125" customWidth="1"/>
    <col min="15371" max="15371" width="0" hidden="1" customWidth="1"/>
    <col min="15619" max="15619" width="31.140625" customWidth="1"/>
    <col min="15620" max="15620" width="15.7109375" customWidth="1"/>
    <col min="15621" max="15621" width="12.85546875" customWidth="1"/>
    <col min="15622" max="15622" width="12.28515625" customWidth="1"/>
    <col min="15623" max="15623" width="13.5703125" customWidth="1"/>
    <col min="15624" max="15625" width="15.85546875" customWidth="1"/>
    <col min="15626" max="15626" width="31.5703125" customWidth="1"/>
    <col min="15627" max="15627" width="0" hidden="1" customWidth="1"/>
    <col min="15875" max="15875" width="31.140625" customWidth="1"/>
    <col min="15876" max="15876" width="15.7109375" customWidth="1"/>
    <col min="15877" max="15877" width="12.85546875" customWidth="1"/>
    <col min="15878" max="15878" width="12.28515625" customWidth="1"/>
    <col min="15879" max="15879" width="13.5703125" customWidth="1"/>
    <col min="15880" max="15881" width="15.85546875" customWidth="1"/>
    <col min="15882" max="15882" width="31.5703125" customWidth="1"/>
    <col min="15883" max="15883" width="0" hidden="1" customWidth="1"/>
    <col min="16131" max="16131" width="31.140625" customWidth="1"/>
    <col min="16132" max="16132" width="15.7109375" customWidth="1"/>
    <col min="16133" max="16133" width="12.85546875" customWidth="1"/>
    <col min="16134" max="16134" width="12.28515625" customWidth="1"/>
    <col min="16135" max="16135" width="13.5703125" customWidth="1"/>
    <col min="16136" max="16137" width="15.85546875" customWidth="1"/>
    <col min="16138" max="16138" width="31.5703125" customWidth="1"/>
    <col min="16139" max="16139" width="0" hidden="1" customWidth="1"/>
  </cols>
  <sheetData>
    <row r="1" spans="3:11" ht="18" x14ac:dyDescent="0.25">
      <c r="C1" s="95" t="str">
        <f>[1]plan1!B1</f>
        <v>Tavares Concrete Company Inc.</v>
      </c>
      <c r="D1" s="95"/>
      <c r="E1" s="95"/>
      <c r="F1" s="95"/>
      <c r="G1" s="95"/>
      <c r="H1" s="95"/>
      <c r="I1" s="96"/>
      <c r="J1" s="96"/>
      <c r="K1" s="95"/>
    </row>
    <row r="2" spans="3:11" ht="18" x14ac:dyDescent="0.25">
      <c r="C2" s="97" t="s">
        <v>51</v>
      </c>
      <c r="D2" s="97"/>
      <c r="E2" s="97"/>
      <c r="F2" s="97"/>
      <c r="G2" s="97"/>
      <c r="H2" s="97"/>
      <c r="I2" s="98"/>
      <c r="J2" s="98"/>
      <c r="K2" s="97"/>
    </row>
    <row r="3" spans="3:11" ht="18" x14ac:dyDescent="0.25">
      <c r="C3" s="99"/>
      <c r="D3" s="99"/>
      <c r="E3" s="99"/>
      <c r="F3" s="99"/>
      <c r="G3" s="99"/>
      <c r="H3" s="99"/>
      <c r="I3" s="100"/>
      <c r="J3" s="100"/>
      <c r="K3" s="99"/>
    </row>
    <row r="4" spans="3:11" ht="18" x14ac:dyDescent="0.25">
      <c r="C4" s="101"/>
      <c r="D4" s="99" t="s">
        <v>52</v>
      </c>
      <c r="E4" s="5">
        <f>plan1!H3</f>
        <v>46054</v>
      </c>
      <c r="F4" s="97" t="s">
        <v>53</v>
      </c>
      <c r="G4" s="97"/>
      <c r="H4" s="102">
        <f>plan1!J3</f>
        <v>46418</v>
      </c>
      <c r="I4" s="103"/>
      <c r="J4" s="6"/>
      <c r="K4" s="12"/>
    </row>
    <row r="5" spans="3:11" ht="18" x14ac:dyDescent="0.25">
      <c r="C5" s="7"/>
      <c r="D5" s="104"/>
      <c r="E5" s="104"/>
      <c r="F5" s="104"/>
      <c r="G5" s="105"/>
      <c r="H5" s="105"/>
      <c r="I5" s="106"/>
      <c r="J5" s="107"/>
      <c r="K5" s="101"/>
    </row>
    <row r="6" spans="3:11" ht="18" x14ac:dyDescent="0.25">
      <c r="C6" s="4" t="s">
        <v>1</v>
      </c>
      <c r="D6" s="12" t="str">
        <f>[1]plan1!D5</f>
        <v>S448</v>
      </c>
      <c r="E6" s="108"/>
      <c r="F6" s="108"/>
      <c r="G6" s="109"/>
      <c r="H6" s="110" t="s">
        <v>3</v>
      </c>
      <c r="I6" s="111"/>
      <c r="J6" s="96" t="str">
        <f>[1]plan1!D6</f>
        <v>Dental</v>
      </c>
      <c r="K6" s="95"/>
    </row>
    <row r="7" spans="3:11" ht="18.75" thickBot="1" x14ac:dyDescent="0.3">
      <c r="C7" s="4"/>
      <c r="D7" s="105"/>
      <c r="E7" s="108"/>
      <c r="F7" s="108"/>
      <c r="G7" s="109"/>
      <c r="H7" s="110"/>
      <c r="I7" s="111"/>
      <c r="J7" s="107"/>
      <c r="K7" s="12"/>
    </row>
    <row r="8" spans="3:11" ht="30.75" thickBot="1" x14ac:dyDescent="0.3">
      <c r="C8" s="112" t="s">
        <v>54</v>
      </c>
      <c r="D8" s="113" t="s">
        <v>55</v>
      </c>
      <c r="E8" s="114" t="s">
        <v>56</v>
      </c>
      <c r="F8" s="115"/>
      <c r="G8" s="116"/>
      <c r="H8" s="158" t="s">
        <v>57</v>
      </c>
      <c r="I8" s="160"/>
      <c r="J8" s="117" t="s">
        <v>58</v>
      </c>
      <c r="K8" s="117"/>
    </row>
    <row r="9" spans="3:11" ht="30.75" thickBot="1" x14ac:dyDescent="0.3">
      <c r="C9" s="118"/>
      <c r="D9" s="119"/>
      <c r="E9" s="120" t="s">
        <v>25</v>
      </c>
      <c r="F9" s="121" t="s">
        <v>59</v>
      </c>
      <c r="G9" s="121" t="s">
        <v>14</v>
      </c>
      <c r="H9" s="159"/>
      <c r="I9" s="161" t="s">
        <v>60</v>
      </c>
      <c r="J9" s="122"/>
      <c r="K9" s="122"/>
    </row>
    <row r="10" spans="3:11" ht="29.25" x14ac:dyDescent="0.25">
      <c r="C10" s="123" t="s">
        <v>61</v>
      </c>
      <c r="D10" s="124"/>
      <c r="E10" s="124"/>
      <c r="F10" s="124"/>
      <c r="G10" s="124"/>
      <c r="H10" s="162">
        <v>19060.84</v>
      </c>
      <c r="I10" s="167"/>
      <c r="J10" s="168"/>
      <c r="K10" s="125"/>
    </row>
    <row r="11" spans="3:11" x14ac:dyDescent="0.25">
      <c r="C11" s="126">
        <f>plan1!B12</f>
        <v>46054</v>
      </c>
      <c r="D11" s="127">
        <v>0</v>
      </c>
      <c r="E11" s="127">
        <f>plan1!K12</f>
        <v>0</v>
      </c>
      <c r="F11" s="127">
        <f>plan1!H12</f>
        <v>152</v>
      </c>
      <c r="G11" s="127">
        <f>E11+F11</f>
        <v>152</v>
      </c>
      <c r="H11" s="163">
        <f t="shared" ref="H11:H22" si="0">D11-G11</f>
        <v>-152</v>
      </c>
      <c r="I11" s="167"/>
      <c r="J11" s="169"/>
      <c r="K11" s="128"/>
    </row>
    <row r="12" spans="3:11" x14ac:dyDescent="0.25">
      <c r="C12" s="126">
        <f>plan1!B13</f>
        <v>46082</v>
      </c>
      <c r="D12" s="127"/>
      <c r="E12" s="127"/>
      <c r="F12" s="127"/>
      <c r="G12" s="127"/>
      <c r="H12" s="163"/>
      <c r="I12" s="167"/>
      <c r="J12" s="169"/>
      <c r="K12" s="128"/>
    </row>
    <row r="13" spans="3:11" x14ac:dyDescent="0.25">
      <c r="C13" s="126">
        <f>plan1!B14</f>
        <v>46113</v>
      </c>
      <c r="D13" s="127"/>
      <c r="E13" s="127"/>
      <c r="F13" s="127"/>
      <c r="G13" s="127"/>
      <c r="H13" s="163"/>
      <c r="I13" s="167"/>
      <c r="J13" s="169"/>
      <c r="K13" s="128"/>
    </row>
    <row r="14" spans="3:11" x14ac:dyDescent="0.25">
      <c r="C14" s="126">
        <f>plan1!B15</f>
        <v>46143</v>
      </c>
      <c r="D14" s="127"/>
      <c r="E14" s="127"/>
      <c r="F14" s="127"/>
      <c r="G14" s="127"/>
      <c r="H14" s="163"/>
      <c r="I14" s="167"/>
      <c r="J14" s="169"/>
      <c r="K14" s="128"/>
    </row>
    <row r="15" spans="3:11" x14ac:dyDescent="0.25">
      <c r="C15" s="126">
        <f>plan1!B16</f>
        <v>46174</v>
      </c>
      <c r="D15" s="127"/>
      <c r="E15" s="127"/>
      <c r="F15" s="127"/>
      <c r="G15" s="127"/>
      <c r="H15" s="163"/>
      <c r="I15" s="167"/>
      <c r="J15" s="169"/>
      <c r="K15" s="128"/>
    </row>
    <row r="16" spans="3:11" x14ac:dyDescent="0.25">
      <c r="C16" s="126">
        <f>plan1!B17</f>
        <v>46204</v>
      </c>
      <c r="D16" s="127"/>
      <c r="E16" s="127"/>
      <c r="F16" s="127"/>
      <c r="G16" s="127"/>
      <c r="H16" s="163"/>
      <c r="I16" s="167"/>
      <c r="J16" s="169"/>
      <c r="K16" s="128"/>
    </row>
    <row r="17" spans="3:11" x14ac:dyDescent="0.25">
      <c r="C17" s="126">
        <f>plan1!B18</f>
        <v>46235</v>
      </c>
      <c r="D17" s="127"/>
      <c r="E17" s="127"/>
      <c r="F17" s="127"/>
      <c r="G17" s="127"/>
      <c r="H17" s="163"/>
      <c r="I17" s="167"/>
      <c r="J17" s="169"/>
      <c r="K17" s="128"/>
    </row>
    <row r="18" spans="3:11" x14ac:dyDescent="0.25">
      <c r="C18" s="126">
        <f>plan1!B19</f>
        <v>46266</v>
      </c>
      <c r="D18" s="127"/>
      <c r="E18" s="127"/>
      <c r="F18" s="127"/>
      <c r="G18" s="127"/>
      <c r="H18" s="163"/>
      <c r="I18" s="167"/>
      <c r="J18" s="169"/>
      <c r="K18" s="128"/>
    </row>
    <row r="19" spans="3:11" x14ac:dyDescent="0.25">
      <c r="C19" s="126">
        <f>plan1!B20</f>
        <v>46296</v>
      </c>
      <c r="D19" s="127"/>
      <c r="E19" s="127"/>
      <c r="F19" s="127"/>
      <c r="G19" s="127"/>
      <c r="H19" s="163"/>
      <c r="I19" s="167"/>
      <c r="J19" s="169"/>
      <c r="K19" s="128"/>
    </row>
    <row r="20" spans="3:11" x14ac:dyDescent="0.25">
      <c r="C20" s="126">
        <f>plan1!B21</f>
        <v>46327</v>
      </c>
      <c r="D20" s="127"/>
      <c r="E20" s="127"/>
      <c r="F20" s="127"/>
      <c r="G20" s="127"/>
      <c r="H20" s="163"/>
      <c r="I20" s="170"/>
      <c r="J20" s="169"/>
      <c r="K20" s="128"/>
    </row>
    <row r="21" spans="3:11" x14ac:dyDescent="0.25">
      <c r="C21" s="126">
        <f>plan1!B22</f>
        <v>46357</v>
      </c>
      <c r="D21" s="127"/>
      <c r="E21" s="127"/>
      <c r="F21" s="127"/>
      <c r="G21" s="127"/>
      <c r="H21" s="163"/>
      <c r="I21" s="170"/>
      <c r="J21" s="169"/>
      <c r="K21" s="128"/>
    </row>
    <row r="22" spans="3:11" x14ac:dyDescent="0.25">
      <c r="C22" s="126">
        <f>plan1!B23</f>
        <v>46388</v>
      </c>
      <c r="D22" s="127"/>
      <c r="E22" s="127"/>
      <c r="F22" s="127"/>
      <c r="G22" s="129">
        <f t="shared" ref="G22" si="1">E22+F22</f>
        <v>0</v>
      </c>
      <c r="H22" s="164">
        <f t="shared" si="0"/>
        <v>0</v>
      </c>
      <c r="I22" s="167"/>
      <c r="J22" s="169"/>
      <c r="K22" s="128"/>
    </row>
    <row r="23" spans="3:11" ht="15.75" thickBot="1" x14ac:dyDescent="0.3">
      <c r="C23" s="130"/>
      <c r="D23" s="131"/>
      <c r="E23" s="131"/>
      <c r="F23" s="131"/>
      <c r="G23" s="131"/>
      <c r="H23" s="165"/>
      <c r="I23" s="171"/>
      <c r="J23" s="172"/>
      <c r="K23" s="132"/>
    </row>
    <row r="24" spans="3:11" ht="15.75" thickBot="1" x14ac:dyDescent="0.3">
      <c r="C24" s="133" t="s">
        <v>14</v>
      </c>
      <c r="D24" s="134">
        <f>SUM(D11:D22)</f>
        <v>0</v>
      </c>
      <c r="E24" s="134">
        <f>SUM(E11:E22)</f>
        <v>0</v>
      </c>
      <c r="F24" s="134">
        <f>SUM(F11:F22)</f>
        <v>152</v>
      </c>
      <c r="G24" s="134">
        <f>SUM(G11:G22)</f>
        <v>152</v>
      </c>
      <c r="H24" s="166">
        <f>SUM(H10:H22)</f>
        <v>18908.84</v>
      </c>
      <c r="I24" s="173"/>
      <c r="J24" s="177"/>
      <c r="K24" s="135"/>
    </row>
    <row r="25" spans="3:11" x14ac:dyDescent="0.25">
      <c r="C25" s="136"/>
      <c r="D25" s="137"/>
      <c r="E25" s="137"/>
      <c r="F25" s="137"/>
      <c r="G25" s="137"/>
      <c r="H25" s="137"/>
      <c r="I25" s="138"/>
      <c r="J25" s="139"/>
      <c r="K25" s="136"/>
    </row>
    <row r="26" spans="3:11" ht="15.75" thickBot="1" x14ac:dyDescent="0.3">
      <c r="D26" s="16"/>
      <c r="E26" s="16"/>
      <c r="F26" s="16"/>
      <c r="G26" s="16"/>
      <c r="H26" s="16"/>
      <c r="I26" s="140"/>
    </row>
    <row r="27" spans="3:11" ht="29.25" x14ac:dyDescent="0.25">
      <c r="C27" s="141" t="s">
        <v>62</v>
      </c>
      <c r="D27" s="142"/>
      <c r="E27" s="142"/>
      <c r="F27" s="142"/>
      <c r="G27" s="142"/>
      <c r="H27" s="142"/>
      <c r="I27" s="142"/>
      <c r="J27" s="143"/>
      <c r="K27" s="143"/>
    </row>
    <row r="28" spans="3:11" ht="15" customHeight="1" x14ac:dyDescent="0.25">
      <c r="C28" s="144" t="s">
        <v>63</v>
      </c>
      <c r="D28" s="174"/>
      <c r="E28" s="174"/>
      <c r="F28" s="174"/>
      <c r="G28" s="174"/>
      <c r="H28" s="174"/>
      <c r="I28" s="175"/>
      <c r="J28" s="176"/>
      <c r="K28" s="145"/>
    </row>
    <row r="29" spans="3:11" ht="60.75" thickBot="1" x14ac:dyDescent="0.3">
      <c r="C29" s="146" t="s">
        <v>64</v>
      </c>
      <c r="D29" s="147"/>
      <c r="E29" s="147"/>
      <c r="F29" s="147"/>
      <c r="G29" s="147"/>
      <c r="H29" s="147"/>
      <c r="I29" s="147"/>
      <c r="J29" s="148"/>
      <c r="K29" s="148"/>
    </row>
    <row r="30" spans="3:11" x14ac:dyDescent="0.25">
      <c r="C30" s="149"/>
      <c r="D30" s="150"/>
      <c r="E30" s="150"/>
      <c r="F30" s="150"/>
      <c r="G30" s="150"/>
      <c r="H30" s="150"/>
      <c r="I30" s="150"/>
      <c r="J30" s="149"/>
      <c r="K30" s="149"/>
    </row>
    <row r="31" spans="3:11" x14ac:dyDescent="0.25">
      <c r="C31" s="149"/>
      <c r="D31" s="150"/>
      <c r="E31" s="150"/>
      <c r="F31" s="150"/>
      <c r="G31" s="150"/>
      <c r="H31" s="150"/>
      <c r="I31" s="150"/>
      <c r="J31" s="149"/>
      <c r="K31" s="149"/>
    </row>
    <row r="32" spans="3:11" x14ac:dyDescent="0.25">
      <c r="C32" s="151"/>
      <c r="D32" s="152"/>
      <c r="E32" s="152"/>
      <c r="F32" s="152"/>
      <c r="G32" s="152"/>
      <c r="H32" s="152"/>
      <c r="I32" s="153"/>
      <c r="J32" s="154"/>
      <c r="K32" s="151"/>
    </row>
    <row r="33" spans="3:11" x14ac:dyDescent="0.25">
      <c r="C33" s="151"/>
      <c r="D33" s="152"/>
      <c r="E33" s="152"/>
      <c r="F33" s="152"/>
      <c r="G33" s="152"/>
      <c r="H33" s="152"/>
      <c r="I33" s="153"/>
      <c r="J33" s="154"/>
      <c r="K33" s="151"/>
    </row>
    <row r="34" spans="3:11" x14ac:dyDescent="0.25">
      <c r="C34" s="151"/>
      <c r="D34" s="152"/>
      <c r="E34" s="152"/>
      <c r="F34" s="152"/>
      <c r="G34" s="152"/>
      <c r="H34" s="152"/>
      <c r="I34" s="153"/>
      <c r="J34" s="154"/>
      <c r="K34" s="151"/>
    </row>
  </sheetData>
  <pageMargins left="0.7" right="0.7" top="0.75" bottom="0.75" header="0.3" footer="0.3"/>
  <pageSetup scale="5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plan1</vt:lpstr>
      <vt:lpstr>Plan Acct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2026-03-02T19:42:09Z</cp:lastPrinted>
  <dcterms:created xsi:type="dcterms:W3CDTF">2010-01-16T14:52:12Z</dcterms:created>
  <dcterms:modified xsi:type="dcterms:W3CDTF">2026-07-01T18:02:33Z</dcterms:modified>
</cp:coreProperties>
</file>