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BADF5252-5FFC-4DAA-A43F-519E7F2962A1}" xr6:coauthVersionLast="47" xr6:coauthVersionMax="47" xr10:uidLastSave="{00000000-0000-0000-0000-000000000000}"/>
  <bookViews>
    <workbookView xWindow="-105" yWindow="0" windowWidth="26010" windowHeight="20985" xr2:uid="{00000000-000D-0000-FFFF-FFFF00000000}"/>
  </bookViews>
  <sheets>
    <sheet name="Standard" sheetId="1" r:id="rId1"/>
    <sheet name="Plan Acct" sheetId="2" r:id="rId2"/>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1" i="1" l="1"/>
  <c r="N20" i="1"/>
  <c r="D18" i="2"/>
  <c r="D17" i="2"/>
  <c r="D16" i="2"/>
  <c r="D15" i="2"/>
  <c r="D14" i="2"/>
  <c r="F14" i="2"/>
  <c r="G14" i="2" s="1"/>
  <c r="D12" i="2"/>
  <c r="N13" i="1"/>
  <c r="N22" i="1"/>
  <c r="N23" i="1"/>
  <c r="N12" i="1"/>
  <c r="C11" i="2" l="1"/>
  <c r="G19" i="2"/>
  <c r="G20" i="2"/>
  <c r="G21" i="2"/>
  <c r="G22" i="2"/>
  <c r="F12" i="2"/>
  <c r="G12" i="2" s="1"/>
  <c r="F13" i="2"/>
  <c r="G13" i="2" s="1"/>
  <c r="F15" i="2"/>
  <c r="G15" i="2" s="1"/>
  <c r="F16" i="2"/>
  <c r="G16" i="2" s="1"/>
  <c r="F17" i="2"/>
  <c r="G17" i="2" s="1"/>
  <c r="F18" i="2"/>
  <c r="G18" i="2" s="1"/>
  <c r="F19" i="2"/>
  <c r="F20" i="2"/>
  <c r="F21" i="2"/>
  <c r="F22" i="2"/>
  <c r="H15" i="1"/>
  <c r="I15" i="1"/>
  <c r="N15" i="1" l="1"/>
  <c r="M15" i="1"/>
  <c r="H23" i="1" l="1"/>
  <c r="H22" i="1"/>
  <c r="D4" i="2" l="1"/>
  <c r="B11" i="2" l="1"/>
  <c r="B12" i="2"/>
  <c r="B13" i="2"/>
  <c r="B14" i="2"/>
  <c r="B15" i="2"/>
  <c r="B16" i="2"/>
  <c r="B17" i="2"/>
  <c r="B18" i="2"/>
  <c r="B19" i="2"/>
  <c r="B20" i="2"/>
  <c r="B21" i="2"/>
  <c r="B22" i="2"/>
  <c r="C6" i="2"/>
  <c r="H6" i="2"/>
  <c r="G4" i="2"/>
  <c r="B1" i="2"/>
  <c r="F11" i="2"/>
  <c r="G11" i="2" s="1"/>
  <c r="E24" i="2"/>
  <c r="C24" i="2"/>
  <c r="G12" i="1"/>
  <c r="H12" i="1"/>
  <c r="I12" i="1"/>
  <c r="G13" i="1"/>
  <c r="H13" i="1"/>
  <c r="I13" i="1"/>
  <c r="G14" i="1"/>
  <c r="H14" i="1"/>
  <c r="I14" i="1"/>
  <c r="G15" i="1"/>
  <c r="G16" i="1"/>
  <c r="H16" i="1"/>
  <c r="I16" i="1"/>
  <c r="G17" i="1"/>
  <c r="H17" i="1"/>
  <c r="N17" i="1" s="1"/>
  <c r="I17" i="1"/>
  <c r="G18" i="1"/>
  <c r="H18" i="1"/>
  <c r="I18" i="1"/>
  <c r="G19" i="1"/>
  <c r="H19" i="1"/>
  <c r="I19" i="1"/>
  <c r="G20" i="1"/>
  <c r="H20" i="1"/>
  <c r="I20" i="1"/>
  <c r="G21" i="1"/>
  <c r="H21" i="1"/>
  <c r="I21" i="1"/>
  <c r="G22" i="1"/>
  <c r="I22" i="1"/>
  <c r="G23" i="1"/>
  <c r="I23" i="1"/>
  <c r="C25" i="1"/>
  <c r="F25" i="1"/>
  <c r="J25" i="1"/>
  <c r="K25" i="1"/>
  <c r="L25" i="1"/>
  <c r="G29" i="1"/>
  <c r="G32" i="1"/>
  <c r="N19" i="1" l="1"/>
  <c r="N18" i="1"/>
  <c r="N16" i="1"/>
  <c r="N14" i="1"/>
  <c r="M12" i="1"/>
  <c r="M23" i="1"/>
  <c r="M22" i="1"/>
  <c r="M21" i="1"/>
  <c r="M20" i="1"/>
  <c r="M19" i="1"/>
  <c r="M18" i="1"/>
  <c r="M17" i="1"/>
  <c r="M16" i="1"/>
  <c r="M14" i="1"/>
  <c r="M13" i="1"/>
  <c r="G25" i="1"/>
  <c r="N32" i="1" s="1"/>
  <c r="D24" i="2"/>
  <c r="H25" i="1"/>
  <c r="G24" i="2"/>
  <c r="F24" i="2"/>
  <c r="I25" i="1"/>
  <c r="N29" i="1"/>
  <c r="N31" i="1"/>
  <c r="N28" i="1"/>
  <c r="N25" i="1" l="1"/>
  <c r="N30" i="1"/>
  <c r="M25" i="1"/>
</calcChain>
</file>

<file path=xl/sharedStrings.xml><?xml version="1.0" encoding="utf-8"?>
<sst xmlns="http://schemas.openxmlformats.org/spreadsheetml/2006/main" count="76" uniqueCount="63">
  <si>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</si>
  <si>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</si>
  <si>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</si>
  <si>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</si>
  <si>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</si>
  <si>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</si>
  <si>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</si>
  <si>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</si>
  <si>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</si>
  <si>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</si>
  <si>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</si>
  <si>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</si>
  <si>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</si>
  <si>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</si>
  <si>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</si>
  <si>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</si>
  <si>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</si>
  <si>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</si>
  <si>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</si>
  <si>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</si>
  <si>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</si>
  <si>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</si>
  <si>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</si>
  <si>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</si>
  <si>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</si>
  <si>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</si>
  <si>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</si>
  <si>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</si>
  <si>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</si>
  <si>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</si>
  <si>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</si>
  <si>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</si>
  <si>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</si>
  <si>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</si>
  <si>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</si>
  <si>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</si>
  <si>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Prior Year Data</t>
  </si>
  <si>
    <t>Surplus (Deficit)</t>
  </si>
  <si>
    <t>Month</t>
  </si>
  <si>
    <t>Deposit</t>
  </si>
  <si>
    <t>Admin</t>
  </si>
  <si>
    <t xml:space="preserve">Plan Year: </t>
  </si>
  <si>
    <r>
      <rPr>
        <b/>
        <sz val="11"/>
        <rFont val="Arial"/>
        <family val="2"/>
      </rPr>
      <t>Note:</t>
    </r>
    <r>
      <rPr>
        <sz val="11"/>
        <rFont val="Arial"/>
        <family val="2"/>
      </rPr>
      <t xml:space="preserve"> The above figures do not include claim adjustments.</t>
    </r>
  </si>
  <si>
    <t>Account Balance</t>
  </si>
  <si>
    <t xml:space="preserve">Plan Expenses </t>
  </si>
  <si>
    <t>Monthly Performance Report - Budgeted vs Actual Claims Paid</t>
  </si>
  <si>
    <t>Prior Plan Year Ending  Balance</t>
  </si>
  <si>
    <t>* Pending claims include claims processed and not yet released for reimbursement due to low account balance.</t>
  </si>
  <si>
    <t>* Claims may also be pending if funding was received and posted after the final check run for the month.</t>
  </si>
  <si>
    <t>Dental</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</si>
  <si>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</si>
  <si>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Dental Plan Year Accounting</t>
  </si>
  <si>
    <t>Red Lake Public School</t>
  </si>
  <si>
    <t>S174</t>
  </si>
  <si>
    <t>S174DEN</t>
  </si>
  <si>
    <t>100% of the first $100</t>
  </si>
  <si>
    <t>Annual Maximum Amount $1000</t>
  </si>
  <si>
    <t>$35/$105 Deductible: 80% of the next $1081.25</t>
  </si>
  <si>
    <t>Ortho covered for Adults and Children at 50% to Lifetime Max $2000</t>
  </si>
  <si>
    <t>Notes</t>
  </si>
  <si>
    <t>Admin Fee Paid as a Claim</t>
  </si>
  <si>
    <t>Administration</t>
  </si>
  <si>
    <t>Refund $1080.00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</si>
</sst>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 numFmtId="168" formatCode="mm/dd/yy;@"/>
  </numFmts>
  <fonts count="22"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b/>
      <sz val="11"/>
      <name val="Arial"/>
      <family val="2"/>
    </font>
    <font>
      <sz val="11"/>
      <color indexed="8"/>
      <name val="Calibri"/>
      <family val="2"/>
    </font>
    <font>
      <b/>
      <sz val="10"/>
      <name val="Arial"/>
      <family val="2"/>
    </font>
    <font>
      <b/>
      <sz val="12"/>
      <name val="Arial"/>
      <family val="2"/>
    </font>
    <font>
      <sz val="12"/>
      <name val="Arial"/>
      <family val="2"/>
    </font>
    <font>
      <u/>
      <sz val="12"/>
      <name val="Arial"/>
      <family val="2"/>
    </font>
    <font>
      <sz val="12"/>
      <color rgb="FFFF0000"/>
      <name val="Arial"/>
      <family val="2"/>
    </font>
    <font>
      <b/>
      <sz val="12"/>
      <color rgb="FF00B050"/>
      <name val="Arial"/>
      <family val="2"/>
    </font>
    <font>
      <sz val="12"/>
      <color rgb="FF00B050"/>
      <name val="Arial"/>
      <family val="2"/>
    </font>
    <font>
      <sz val="12"/>
      <color theme="0"/>
      <name val="Arial"/>
      <family val="2"/>
    </font>
    <font>
      <sz val="11"/>
      <color theme="0"/>
      <name val="Arial"/>
      <family val="2"/>
    </font>
  </fonts>
  <fills count="2">
    <fill>
      <patternFill patternType="none"/>
    </fill>
    <fill>
      <patternFill patternType="gray125"/>
    </fill>
  </fills>
  <borders count="4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s>
  <cellStyleXfs count="7">
    <xf numFmtId="0" fontId="0" fillId="0" borderId="0"/>
    <xf numFmtId="43" fontId="12" fillId="0" borderId="0" applyFont="0" applyFill="0" applyBorder="0" applyAlignment="0" applyProtection="0"/>
    <xf numFmtId="43" fontId="1" fillId="0" borderId="0" applyFont="0" applyFill="0" applyBorder="0" applyAlignment="0" applyProtection="0"/>
    <xf numFmtId="44" fontId="12" fillId="0" borderId="0" applyFont="0" applyFill="0" applyBorder="0" applyAlignment="0" applyProtection="0"/>
    <xf numFmtId="44" fontId="1"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cellStyleXfs>
  <cellXfs count="208">
    <xf numFmtId="0" fontId="0" fillId="0" borderId="0" xfId="0"/>
    <xf numFmtId="0" fontId="3" fillId="0" borderId="0" xfId="0" applyFont="1"/>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165" fontId="8" fillId="0" borderId="0" xfId="1" applyNumberFormat="1" applyFont="1"/>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0" fontId="8" fillId="0" borderId="0" xfId="0" applyFont="1"/>
    <xf numFmtId="0" fontId="4" fillId="0" borderId="0" xfId="0" applyFont="1" applyAlignment="1">
      <alignment horizontal="center"/>
    </xf>
    <xf numFmtId="0" fontId="3" fillId="0" borderId="0" xfId="0" applyFont="1" applyAlignment="1">
      <alignment horizontal="center"/>
    </xf>
    <xf numFmtId="167" fontId="4" fillId="0" borderId="0" xfId="0" applyNumberFormat="1" applyFont="1" applyAlignment="1">
      <alignment horizontal="center"/>
    </xf>
    <xf numFmtId="168" fontId="2" fillId="0" borderId="0" xfId="0" applyNumberFormat="1" applyFont="1" applyAlignment="1">
      <alignment horizontal="center"/>
    </xf>
    <xf numFmtId="167" fontId="6" fillId="0" borderId="0" xfId="0" applyNumberFormat="1" applyFont="1" applyAlignment="1">
      <alignment horizontal="center"/>
    </xf>
    <xf numFmtId="167" fontId="2" fillId="0" borderId="0" xfId="0" applyNumberFormat="1" applyFont="1" applyAlignment="1">
      <alignment horizontal="center"/>
    </xf>
    <xf numFmtId="167" fontId="2" fillId="0" borderId="0" xfId="0" applyNumberFormat="1" applyFont="1" applyAlignment="1">
      <alignment horizontal="left"/>
    </xf>
    <xf numFmtId="167" fontId="3" fillId="0" borderId="0" xfId="0" applyNumberFormat="1" applyFont="1"/>
    <xf numFmtId="167" fontId="10" fillId="0" borderId="0" xfId="0" applyNumberFormat="1" applyFont="1"/>
    <xf numFmtId="167" fontId="8" fillId="0" borderId="18" xfId="1" applyNumberFormat="1" applyFont="1" applyBorder="1" applyAlignment="1">
      <alignment horizontal="right"/>
    </xf>
    <xf numFmtId="167" fontId="8" fillId="0" borderId="18" xfId="3" applyNumberFormat="1" applyFont="1" applyBorder="1" applyAlignment="1">
      <alignment horizontal="right"/>
    </xf>
    <xf numFmtId="17" fontId="8" fillId="0" borderId="19" xfId="0" applyNumberFormat="1" applyFont="1" applyBorder="1" applyAlignment="1">
      <alignment horizontal="right"/>
    </xf>
    <xf numFmtId="167" fontId="8" fillId="0" borderId="20" xfId="1" applyNumberFormat="1" applyFont="1" applyBorder="1" applyAlignment="1">
      <alignment horizontal="right"/>
    </xf>
    <xf numFmtId="17" fontId="8" fillId="0" borderId="21" xfId="0" applyNumberFormat="1" applyFont="1" applyBorder="1" applyAlignment="1">
      <alignment horizontal="right"/>
    </xf>
    <xf numFmtId="167" fontId="8" fillId="0" borderId="22" xfId="1" applyNumberFormat="1" applyFont="1" applyBorder="1" applyAlignment="1">
      <alignment horizontal="right"/>
    </xf>
    <xf numFmtId="167" fontId="8" fillId="0" borderId="22" xfId="3" applyNumberFormat="1" applyFont="1" applyBorder="1" applyAlignment="1">
      <alignment horizontal="right"/>
    </xf>
    <xf numFmtId="0" fontId="11" fillId="0" borderId="23" xfId="0" applyFont="1" applyBorder="1" applyAlignment="1">
      <alignment horizontal="right"/>
    </xf>
    <xf numFmtId="167" fontId="11" fillId="0" borderId="24" xfId="1" applyNumberFormat="1" applyFont="1" applyBorder="1" applyAlignment="1">
      <alignment horizontal="right"/>
    </xf>
    <xf numFmtId="167" fontId="8" fillId="0" borderId="0" xfId="0" applyNumberFormat="1" applyFont="1"/>
    <xf numFmtId="0" fontId="8" fillId="0" borderId="0" xfId="0" applyFont="1" applyAlignment="1">
      <alignment horizontal="left" vertical="center" wrapText="1"/>
    </xf>
    <xf numFmtId="167" fontId="8" fillId="0" borderId="0" xfId="0" applyNumberFormat="1" applyFont="1" applyAlignment="1">
      <alignment horizontal="left" vertical="center" wrapText="1"/>
    </xf>
    <xf numFmtId="0" fontId="10" fillId="0" borderId="0" xfId="0" applyFont="1" applyAlignment="1">
      <alignment horizontal="left"/>
    </xf>
    <xf numFmtId="167" fontId="10" fillId="0" borderId="0" xfId="0" applyNumberFormat="1" applyFont="1" applyAlignment="1">
      <alignment horizontal="left"/>
    </xf>
    <xf numFmtId="167" fontId="4" fillId="0" borderId="0" xfId="0" applyNumberFormat="1" applyFont="1" applyAlignment="1">
      <alignment horizontal="right"/>
    </xf>
    <xf numFmtId="17" fontId="8" fillId="0" borderId="25" xfId="0" quotePrefix="1" applyNumberFormat="1" applyFont="1" applyBorder="1" applyAlignment="1">
      <alignment horizontal="right" wrapText="1"/>
    </xf>
    <xf numFmtId="167" fontId="11" fillId="0" borderId="24" xfId="0" applyNumberFormat="1" applyFont="1" applyBorder="1" applyAlignment="1">
      <alignment horizontal="center"/>
    </xf>
    <xf numFmtId="167" fontId="11" fillId="0" borderId="26" xfId="1" applyNumberFormat="1" applyFont="1" applyBorder="1" applyAlignment="1">
      <alignment horizontal="center"/>
    </xf>
    <xf numFmtId="2" fontId="14" fillId="0" borderId="1" xfId="0" applyNumberFormat="1" applyFont="1" applyBorder="1" applyAlignment="1">
      <alignment horizontal="center" vertical="center"/>
    </xf>
    <xf numFmtId="0" fontId="15" fillId="0" borderId="0" xfId="0" applyFont="1"/>
    <xf numFmtId="0" fontId="14" fillId="0" borderId="2" xfId="0" applyFont="1" applyBorder="1"/>
    <xf numFmtId="166" fontId="14" fillId="0" borderId="0" xfId="0" applyNumberFormat="1" applyFont="1" applyAlignment="1">
      <alignment horizontal="right"/>
    </xf>
    <xf numFmtId="0" fontId="14" fillId="0" borderId="0" xfId="0" applyFont="1" applyAlignment="1">
      <alignment horizontal="right"/>
    </xf>
    <xf numFmtId="0" fontId="14" fillId="0" borderId="3" xfId="0" applyFont="1" applyBorder="1" applyAlignment="1">
      <alignment horizontal="right"/>
    </xf>
    <xf numFmtId="0" fontId="14" fillId="0" borderId="4" xfId="0" applyFont="1" applyBorder="1" applyAlignment="1">
      <alignment horizontal="center"/>
    </xf>
    <xf numFmtId="0" fontId="14" fillId="0" borderId="5" xfId="0" applyFont="1" applyBorder="1" applyAlignment="1">
      <alignment horizontal="center" wrapText="1"/>
    </xf>
    <xf numFmtId="0" fontId="14" fillId="0" borderId="6" xfId="0" applyFont="1" applyBorder="1" applyAlignment="1">
      <alignment horizontal="center"/>
    </xf>
    <xf numFmtId="0" fontId="14" fillId="0" borderId="5" xfId="0" applyFont="1" applyBorder="1" applyAlignment="1">
      <alignment horizontal="center"/>
    </xf>
    <xf numFmtId="0" fontId="14" fillId="0" borderId="7" xfId="0" applyFont="1" applyBorder="1" applyAlignment="1">
      <alignment horizontal="right"/>
    </xf>
    <xf numFmtId="166" fontId="14" fillId="0" borderId="8" xfId="0" applyNumberFormat="1" applyFont="1" applyBorder="1" applyAlignment="1">
      <alignment horizontal="right"/>
    </xf>
    <xf numFmtId="165" fontId="14" fillId="0" borderId="0" xfId="1" applyNumberFormat="1" applyFont="1" applyAlignment="1">
      <alignment horizontal="right"/>
    </xf>
    <xf numFmtId="166" fontId="14" fillId="0" borderId="9" xfId="0" applyNumberFormat="1" applyFont="1" applyBorder="1" applyAlignment="1">
      <alignment horizontal="center"/>
    </xf>
    <xf numFmtId="0" fontId="14" fillId="0" borderId="8" xfId="0" applyFont="1" applyBorder="1" applyAlignment="1">
      <alignment horizontal="center"/>
    </xf>
    <xf numFmtId="0" fontId="14" fillId="0" borderId="10" xfId="0" applyFont="1" applyBorder="1" applyAlignment="1">
      <alignment horizontal="center" wrapText="1"/>
    </xf>
    <xf numFmtId="0" fontId="14" fillId="0" borderId="7" xfId="0" applyFont="1" applyBorder="1" applyAlignment="1">
      <alignment horizontal="center"/>
    </xf>
    <xf numFmtId="0" fontId="14" fillId="0" borderId="10" xfId="0" applyFont="1" applyBorder="1" applyAlignment="1">
      <alignment horizontal="center"/>
    </xf>
    <xf numFmtId="17" fontId="15" fillId="0" borderId="6" xfId="0" quotePrefix="1" applyNumberFormat="1" applyFont="1" applyBorder="1" applyAlignment="1">
      <alignment horizontal="right"/>
    </xf>
    <xf numFmtId="165" fontId="15" fillId="0" borderId="4" xfId="1" applyNumberFormat="1" applyFont="1" applyBorder="1" applyAlignment="1">
      <alignment horizontal="right"/>
    </xf>
    <xf numFmtId="165" fontId="15" fillId="0" borderId="5" xfId="1" applyNumberFormat="1" applyFont="1" applyBorder="1" applyAlignment="1">
      <alignment horizontal="right"/>
    </xf>
    <xf numFmtId="44" fontId="15" fillId="0" borderId="11" xfId="3" applyFont="1" applyBorder="1" applyAlignment="1">
      <alignment horizontal="right"/>
    </xf>
    <xf numFmtId="44" fontId="15" fillId="0" borderId="6" xfId="3" applyFont="1" applyBorder="1" applyAlignment="1">
      <alignment horizontal="right"/>
    </xf>
    <xf numFmtId="44" fontId="15" fillId="0" borderId="4" xfId="3" applyFont="1" applyBorder="1" applyAlignment="1">
      <alignment horizontal="center"/>
    </xf>
    <xf numFmtId="44" fontId="15" fillId="0" borderId="4" xfId="3" applyFont="1" applyBorder="1"/>
    <xf numFmtId="165" fontId="15" fillId="0" borderId="5" xfId="1" applyNumberFormat="1" applyFont="1" applyBorder="1" applyAlignment="1">
      <alignment horizontal="center" wrapText="1"/>
    </xf>
    <xf numFmtId="44" fontId="15" fillId="0" borderId="6" xfId="3" applyFont="1" applyBorder="1"/>
    <xf numFmtId="10" fontId="15" fillId="0" borderId="5" xfId="5" applyNumberFormat="1" applyFont="1" applyBorder="1"/>
    <xf numFmtId="165" fontId="15" fillId="0" borderId="0" xfId="0" applyNumberFormat="1" applyFont="1"/>
    <xf numFmtId="17" fontId="15" fillId="0" borderId="2" xfId="0" applyNumberFormat="1" applyFont="1" applyBorder="1" applyAlignment="1">
      <alignment horizontal="right"/>
    </xf>
    <xf numFmtId="165" fontId="15" fillId="0" borderId="0" xfId="1" applyNumberFormat="1" applyFont="1" applyAlignment="1">
      <alignment horizontal="right"/>
    </xf>
    <xf numFmtId="165" fontId="15" fillId="0" borderId="12" xfId="1" applyNumberFormat="1" applyFont="1" applyBorder="1" applyAlignment="1">
      <alignment horizontal="right"/>
    </xf>
    <xf numFmtId="44" fontId="15" fillId="0" borderId="3" xfId="3" applyFont="1" applyBorder="1" applyAlignment="1">
      <alignment horizontal="right"/>
    </xf>
    <xf numFmtId="44" fontId="15" fillId="0" borderId="2" xfId="3" applyFont="1" applyBorder="1" applyAlignment="1">
      <alignment horizontal="right"/>
    </xf>
    <xf numFmtId="44" fontId="15" fillId="0" borderId="0" xfId="3" applyFont="1" applyAlignment="1">
      <alignment horizontal="right"/>
    </xf>
    <xf numFmtId="10" fontId="15" fillId="0" borderId="12" xfId="5" applyNumberFormat="1" applyFont="1" applyBorder="1" applyAlignment="1">
      <alignment horizontal="right"/>
    </xf>
    <xf numFmtId="165" fontId="15" fillId="0" borderId="0" xfId="1" applyNumberFormat="1" applyFont="1"/>
    <xf numFmtId="17" fontId="15" fillId="0" borderId="7" xfId="0" applyNumberFormat="1" applyFont="1" applyBorder="1" applyAlignment="1">
      <alignment horizontal="right"/>
    </xf>
    <xf numFmtId="165" fontId="15" fillId="0" borderId="8" xfId="1" applyNumberFormat="1" applyFont="1" applyBorder="1" applyAlignment="1">
      <alignment horizontal="right"/>
    </xf>
    <xf numFmtId="165" fontId="15" fillId="0" borderId="10" xfId="1" applyNumberFormat="1" applyFont="1" applyBorder="1" applyAlignment="1">
      <alignment horizontal="right"/>
    </xf>
    <xf numFmtId="44" fontId="15" fillId="0" borderId="9" xfId="3" applyFont="1" applyBorder="1" applyAlignment="1">
      <alignment horizontal="right"/>
    </xf>
    <xf numFmtId="44" fontId="15" fillId="0" borderId="7" xfId="3" applyFont="1" applyBorder="1" applyAlignment="1">
      <alignment horizontal="right"/>
    </xf>
    <xf numFmtId="44" fontId="15" fillId="0" borderId="8" xfId="3" applyFont="1" applyBorder="1" applyAlignment="1">
      <alignment horizontal="center"/>
    </xf>
    <xf numFmtId="44" fontId="15" fillId="0" borderId="8" xfId="3" applyFont="1" applyBorder="1"/>
    <xf numFmtId="165" fontId="15" fillId="0" borderId="10" xfId="1" applyNumberFormat="1" applyFont="1" applyBorder="1" applyAlignment="1">
      <alignment horizontal="center" wrapText="1"/>
    </xf>
    <xf numFmtId="44" fontId="15" fillId="0" borderId="7" xfId="3" applyFont="1" applyBorder="1"/>
    <xf numFmtId="10" fontId="15" fillId="0" borderId="10" xfId="5" applyNumberFormat="1" applyFont="1" applyBorder="1" applyAlignment="1">
      <alignment horizontal="center"/>
    </xf>
    <xf numFmtId="0" fontId="14" fillId="0" borderId="13" xfId="0" applyFont="1" applyBorder="1" applyAlignment="1">
      <alignment horizontal="right"/>
    </xf>
    <xf numFmtId="165" fontId="14" fillId="0" borderId="14" xfId="1" applyNumberFormat="1" applyFont="1" applyBorder="1" applyAlignment="1">
      <alignment horizontal="right"/>
    </xf>
    <xf numFmtId="44" fontId="14" fillId="0" borderId="13" xfId="3" applyFont="1" applyBorder="1"/>
    <xf numFmtId="44" fontId="14" fillId="0" borderId="14" xfId="3" applyFont="1" applyBorder="1"/>
    <xf numFmtId="44" fontId="14" fillId="0" borderId="14" xfId="3" applyFont="1" applyBorder="1" applyAlignment="1">
      <alignment horizontal="right"/>
    </xf>
    <xf numFmtId="165" fontId="14" fillId="0" borderId="15" xfId="1" applyNumberFormat="1" applyFont="1" applyBorder="1" applyAlignment="1">
      <alignment horizontal="center" wrapText="1"/>
    </xf>
    <xf numFmtId="10" fontId="14" fillId="0" borderId="15" xfId="0" applyNumberFormat="1" applyFont="1" applyBorder="1" applyAlignment="1">
      <alignment horizontal="right"/>
    </xf>
    <xf numFmtId="0" fontId="14" fillId="0" borderId="0" xfId="0" applyFont="1"/>
    <xf numFmtId="0" fontId="15" fillId="0" borderId="0" xfId="0" applyFont="1" applyAlignment="1">
      <alignment horizontal="center"/>
    </xf>
    <xf numFmtId="0" fontId="15" fillId="0" borderId="0" xfId="0" applyFont="1" applyAlignment="1">
      <alignment horizontal="center" wrapText="1"/>
    </xf>
    <xf numFmtId="0" fontId="14" fillId="0" borderId="0" xfId="0" applyFont="1" applyAlignment="1">
      <alignment horizontal="center"/>
    </xf>
    <xf numFmtId="0" fontId="15" fillId="0" borderId="16" xfId="0" applyFont="1" applyBorder="1"/>
    <xf numFmtId="0" fontId="15" fillId="0" borderId="17" xfId="0" applyFont="1" applyBorder="1" applyAlignment="1">
      <alignment horizontal="center"/>
    </xf>
    <xf numFmtId="44" fontId="15" fillId="0" borderId="17" xfId="3" applyFont="1" applyBorder="1"/>
    <xf numFmtId="0" fontId="15" fillId="0" borderId="17" xfId="0" applyFont="1" applyBorder="1" applyAlignment="1">
      <alignment horizontal="right"/>
    </xf>
    <xf numFmtId="167" fontId="15" fillId="0" borderId="17" xfId="0" applyNumberFormat="1" applyFont="1" applyBorder="1" applyAlignment="1">
      <alignment horizontal="center"/>
    </xf>
    <xf numFmtId="167" fontId="15" fillId="0" borderId="0" xfId="0" applyNumberFormat="1" applyFont="1" applyAlignment="1">
      <alignment horizontal="center"/>
    </xf>
    <xf numFmtId="165" fontId="15" fillId="0" borderId="17" xfId="1" applyNumberFormat="1" applyFont="1" applyBorder="1" applyAlignment="1">
      <alignment horizontal="right"/>
    </xf>
    <xf numFmtId="43" fontId="15" fillId="0" borderId="17" xfId="1" applyFont="1" applyBorder="1"/>
    <xf numFmtId="10" fontId="15" fillId="0" borderId="17" xfId="0" applyNumberFormat="1" applyFont="1" applyBorder="1"/>
    <xf numFmtId="167" fontId="15" fillId="0" borderId="0" xfId="0" applyNumberFormat="1" applyFont="1" applyAlignment="1">
      <alignment horizontal="right"/>
    </xf>
    <xf numFmtId="0" fontId="15" fillId="0" borderId="0" xfId="0" applyFont="1" applyAlignment="1">
      <alignment horizontal="left"/>
    </xf>
    <xf numFmtId="8" fontId="15" fillId="0" borderId="0" xfId="0" applyNumberFormat="1" applyFont="1"/>
    <xf numFmtId="3" fontId="15" fillId="0" borderId="0" xfId="0" applyNumberFormat="1" applyFont="1" applyAlignment="1">
      <alignment horizontal="left"/>
    </xf>
    <xf numFmtId="0" fontId="11" fillId="0" borderId="2" xfId="0" applyFont="1" applyBorder="1" applyAlignment="1" applyProtection="1">
      <alignment horizontal="left" vertical="center"/>
      <protection locked="0"/>
    </xf>
    <xf numFmtId="0" fontId="11" fillId="0" borderId="0" xfId="0" applyFont="1" applyAlignment="1" applyProtection="1">
      <alignment horizontal="left" vertical="center"/>
      <protection locked="0"/>
    </xf>
    <xf numFmtId="0" fontId="0" fillId="0" borderId="2" xfId="0" applyBorder="1"/>
    <xf numFmtId="167" fontId="17" fillId="0" borderId="0" xfId="0" applyNumberFormat="1" applyFont="1" applyAlignment="1">
      <alignment horizontal="center"/>
    </xf>
    <xf numFmtId="167" fontId="4" fillId="0" borderId="0" xfId="0" applyNumberFormat="1" applyFont="1" applyAlignment="1">
      <alignment horizontal="center" wrapText="1"/>
    </xf>
    <xf numFmtId="0" fontId="2" fillId="0" borderId="0" xfId="0" applyFont="1" applyAlignment="1">
      <alignment horizontal="center" wrapText="1"/>
    </xf>
    <xf numFmtId="167" fontId="8" fillId="0" borderId="42" xfId="3" applyNumberFormat="1" applyFont="1" applyBorder="1" applyAlignment="1">
      <alignment horizontal="center" wrapText="1"/>
    </xf>
    <xf numFmtId="167" fontId="8" fillId="0" borderId="20" xfId="3" applyNumberFormat="1" applyFont="1" applyBorder="1" applyAlignment="1">
      <alignment horizontal="right"/>
    </xf>
    <xf numFmtId="44" fontId="19" fillId="0" borderId="17" xfId="3" applyFont="1" applyBorder="1"/>
    <xf numFmtId="43" fontId="19" fillId="0" borderId="17" xfId="1" applyFont="1" applyBorder="1"/>
    <xf numFmtId="10" fontId="19" fillId="0" borderId="17" xfId="0" applyNumberFormat="1" applyFont="1" applyBorder="1"/>
    <xf numFmtId="44" fontId="8" fillId="0" borderId="44" xfId="3" applyFont="1" applyBorder="1" applyAlignment="1">
      <alignment horizontal="center" wrapText="1"/>
    </xf>
    <xf numFmtId="167" fontId="8" fillId="0" borderId="41" xfId="3" applyNumberFormat="1" applyFont="1" applyBorder="1" applyAlignment="1">
      <alignment horizontal="center" wrapText="1"/>
    </xf>
    <xf numFmtId="167" fontId="11" fillId="0" borderId="43" xfId="1" applyNumberFormat="1" applyFont="1" applyBorder="1" applyAlignment="1">
      <alignment horizontal="center" wrapText="1"/>
    </xf>
    <xf numFmtId="0" fontId="8" fillId="0" borderId="0" xfId="0" applyFont="1" applyAlignment="1">
      <alignment horizontal="center" wrapText="1"/>
    </xf>
    <xf numFmtId="0" fontId="11" fillId="0" borderId="12" xfId="0" applyFont="1" applyBorder="1" applyAlignment="1" applyProtection="1">
      <alignment horizontal="center" vertical="center" wrapText="1"/>
      <protection locked="0"/>
    </xf>
    <xf numFmtId="0" fontId="8" fillId="0" borderId="0" xfId="0" applyFont="1" applyAlignment="1">
      <alignment horizontal="center" vertical="center" wrapText="1"/>
    </xf>
    <xf numFmtId="10" fontId="20" fillId="0" borderId="12" xfId="5" applyNumberFormat="1" applyFont="1" applyBorder="1" applyAlignment="1">
      <alignment horizontal="right"/>
    </xf>
    <xf numFmtId="167" fontId="21" fillId="0" borderId="20" xfId="1" applyNumberFormat="1" applyFont="1" applyBorder="1" applyAlignment="1">
      <alignment horizontal="right"/>
    </xf>
    <xf numFmtId="167" fontId="21" fillId="0" borderId="20" xfId="3" applyNumberFormat="1" applyFont="1" applyBorder="1" applyAlignment="1">
      <alignment horizontal="right"/>
    </xf>
    <xf numFmtId="0" fontId="15" fillId="0" borderId="29"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2" xfId="0" applyFont="1" applyBorder="1" applyAlignment="1">
      <alignment horizontal="center" vertical="center" wrapText="1"/>
    </xf>
    <xf numFmtId="0" fontId="15" fillId="0" borderId="0" xfId="0" applyFont="1" applyAlignment="1">
      <alignment horizontal="center" vertical="center" wrapText="1"/>
    </xf>
    <xf numFmtId="0" fontId="15" fillId="0" borderId="33"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18" fillId="0" borderId="16" xfId="0" applyFont="1" applyBorder="1" applyAlignment="1">
      <alignment horizontal="right"/>
    </xf>
    <xf numFmtId="0" fontId="18" fillId="0" borderId="27" xfId="0" applyFont="1" applyBorder="1" applyAlignment="1">
      <alignment horizontal="right"/>
    </xf>
    <xf numFmtId="0" fontId="18" fillId="0" borderId="28" xfId="0" applyFont="1" applyBorder="1" applyAlignment="1">
      <alignment horizontal="right"/>
    </xf>
    <xf numFmtId="0" fontId="18" fillId="0" borderId="16"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16" xfId="0" applyFont="1" applyBorder="1" applyAlignment="1">
      <alignment horizontal="right"/>
    </xf>
    <xf numFmtId="0" fontId="19" fillId="0" borderId="27" xfId="0" applyFont="1" applyBorder="1" applyAlignment="1">
      <alignment horizontal="right"/>
    </xf>
    <xf numFmtId="0" fontId="19" fillId="0" borderId="28" xfId="0" applyFont="1" applyBorder="1" applyAlignment="1">
      <alignment horizontal="right"/>
    </xf>
    <xf numFmtId="3" fontId="15" fillId="0" borderId="2" xfId="0" applyNumberFormat="1" applyFont="1" applyBorder="1" applyAlignment="1">
      <alignment horizontal="left"/>
    </xf>
    <xf numFmtId="3" fontId="15" fillId="0" borderId="0" xfId="0" applyNumberFormat="1" applyFont="1" applyAlignment="1">
      <alignment horizontal="left"/>
    </xf>
    <xf numFmtId="3" fontId="15" fillId="0" borderId="12" xfId="0" applyNumberFormat="1" applyFont="1" applyBorder="1" applyAlignment="1">
      <alignment horizontal="left"/>
    </xf>
    <xf numFmtId="3" fontId="15" fillId="0" borderId="7" xfId="0" applyNumberFormat="1" applyFont="1" applyBorder="1" applyAlignment="1">
      <alignment horizontal="left"/>
    </xf>
    <xf numFmtId="3" fontId="15" fillId="0" borderId="8" xfId="0" applyNumberFormat="1" applyFont="1" applyBorder="1" applyAlignment="1">
      <alignment horizontal="left"/>
    </xf>
    <xf numFmtId="3" fontId="15" fillId="0" borderId="10" xfId="0" applyNumberFormat="1" applyFont="1" applyBorder="1" applyAlignment="1">
      <alignment horizontal="left"/>
    </xf>
    <xf numFmtId="3" fontId="15" fillId="0" borderId="6" xfId="0" applyNumberFormat="1" applyFont="1" applyBorder="1" applyAlignment="1">
      <alignment horizontal="left"/>
    </xf>
    <xf numFmtId="3" fontId="15" fillId="0" borderId="4" xfId="0" applyNumberFormat="1" applyFont="1" applyBorder="1" applyAlignment="1">
      <alignment horizontal="left"/>
    </xf>
    <xf numFmtId="3" fontId="15" fillId="0" borderId="5" xfId="0" applyNumberFormat="1" applyFont="1" applyBorder="1" applyAlignment="1">
      <alignment horizontal="left"/>
    </xf>
    <xf numFmtId="0" fontId="15" fillId="0" borderId="16" xfId="0" applyFont="1" applyBorder="1" applyAlignment="1">
      <alignment horizontal="right"/>
    </xf>
    <xf numFmtId="0" fontId="15" fillId="0" borderId="27" xfId="0" applyFont="1" applyBorder="1" applyAlignment="1">
      <alignment horizontal="right"/>
    </xf>
    <xf numFmtId="0" fontId="15" fillId="0" borderId="28" xfId="0" applyFont="1" applyBorder="1" applyAlignment="1">
      <alignment horizontal="right"/>
    </xf>
    <xf numFmtId="0" fontId="14" fillId="0" borderId="11" xfId="0" applyFont="1" applyBorder="1" applyAlignment="1">
      <alignment horizontal="center"/>
    </xf>
    <xf numFmtId="167" fontId="15" fillId="0" borderId="27" xfId="0" applyNumberFormat="1" applyFont="1" applyBorder="1" applyAlignment="1">
      <alignment horizontal="center"/>
    </xf>
    <xf numFmtId="167" fontId="15" fillId="0" borderId="28" xfId="0" applyNumberFormat="1" applyFont="1" applyBorder="1" applyAlignment="1">
      <alignment horizontal="center"/>
    </xf>
    <xf numFmtId="167" fontId="15" fillId="0" borderId="16" xfId="0" applyNumberFormat="1" applyFont="1" applyBorder="1" applyAlignment="1">
      <alignment horizontal="center"/>
    </xf>
    <xf numFmtId="0" fontId="4" fillId="0" borderId="0" xfId="0" applyFont="1" applyAlignment="1">
      <alignment horizontal="right"/>
    </xf>
    <xf numFmtId="0" fontId="2" fillId="0" borderId="0" xfId="0" applyFont="1" applyAlignment="1">
      <alignment horizontal="left"/>
    </xf>
    <xf numFmtId="2" fontId="14" fillId="0" borderId="13" xfId="0" applyNumberFormat="1" applyFont="1" applyBorder="1" applyAlignment="1">
      <alignment horizontal="center" vertical="center"/>
    </xf>
    <xf numFmtId="2" fontId="14" fillId="0" borderId="14" xfId="0" applyNumberFormat="1" applyFont="1" applyBorder="1" applyAlignment="1">
      <alignment horizontal="center"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xf>
    <xf numFmtId="0" fontId="14" fillId="0" borderId="13" xfId="0" applyFont="1" applyBorder="1" applyAlignment="1">
      <alignment horizontal="center" vertical="center"/>
    </xf>
    <xf numFmtId="0" fontId="14" fillId="0" borderId="37" xfId="0" applyFont="1" applyBorder="1" applyAlignment="1">
      <alignment horizontal="center"/>
    </xf>
    <xf numFmtId="0" fontId="14" fillId="0" borderId="38" xfId="0" applyFont="1" applyBorder="1" applyAlignment="1">
      <alignment horizontal="center"/>
    </xf>
    <xf numFmtId="0" fontId="14" fillId="0" borderId="39" xfId="0" applyFont="1" applyBorder="1" applyAlignment="1">
      <alignment horizontal="center"/>
    </xf>
    <xf numFmtId="0" fontId="14" fillId="0" borderId="16" xfId="0" applyFont="1" applyBorder="1" applyAlignment="1">
      <alignment horizontal="center"/>
    </xf>
    <xf numFmtId="0" fontId="15" fillId="0" borderId="27" xfId="0" applyFont="1" applyBorder="1" applyAlignment="1">
      <alignment horizontal="center"/>
    </xf>
    <xf numFmtId="0" fontId="15" fillId="0" borderId="28" xfId="0" applyFont="1" applyBorder="1" applyAlignment="1">
      <alignment horizontal="center"/>
    </xf>
    <xf numFmtId="0" fontId="15" fillId="0" borderId="16" xfId="0" applyFont="1" applyBorder="1" applyAlignment="1">
      <alignment horizontal="center"/>
    </xf>
    <xf numFmtId="0" fontId="2" fillId="0" borderId="0" xfId="0" applyFont="1" applyAlignment="1">
      <alignment horizontal="center"/>
    </xf>
    <xf numFmtId="0" fontId="4" fillId="0" borderId="0" xfId="0" applyFont="1" applyAlignment="1">
      <alignment horizontal="center"/>
    </xf>
    <xf numFmtId="167" fontId="13" fillId="0" borderId="40" xfId="0" applyNumberFormat="1" applyFont="1" applyBorder="1" applyAlignment="1">
      <alignment horizontal="center"/>
    </xf>
    <xf numFmtId="167" fontId="10" fillId="0" borderId="14" xfId="0" applyNumberFormat="1" applyFont="1" applyBorder="1" applyAlignment="1">
      <alignment horizontal="center"/>
    </xf>
    <xf numFmtId="167" fontId="10" fillId="0" borderId="26" xfId="0" applyNumberFormat="1" applyFont="1" applyBorder="1" applyAlignment="1">
      <alignment horizontal="center"/>
    </xf>
    <xf numFmtId="0" fontId="11" fillId="0" borderId="25" xfId="0" applyFont="1" applyBorder="1" applyAlignment="1">
      <alignment horizontal="center"/>
    </xf>
    <xf numFmtId="0" fontId="11" fillId="0" borderId="21" xfId="0" applyFont="1" applyBorder="1" applyAlignment="1">
      <alignment horizontal="center"/>
    </xf>
    <xf numFmtId="167" fontId="11" fillId="0" borderId="18" xfId="0" applyNumberFormat="1" applyFont="1" applyBorder="1" applyAlignment="1">
      <alignment horizontal="center"/>
    </xf>
    <xf numFmtId="167" fontId="11" fillId="0" borderId="22" xfId="0" applyNumberFormat="1" applyFont="1" applyBorder="1" applyAlignment="1">
      <alignment horizontal="center"/>
    </xf>
    <xf numFmtId="167" fontId="11" fillId="0" borderId="18" xfId="0" applyNumberFormat="1" applyFont="1" applyBorder="1" applyAlignment="1">
      <alignment horizontal="center" wrapText="1"/>
    </xf>
    <xf numFmtId="167" fontId="11" fillId="0" borderId="22" xfId="0" applyNumberFormat="1" applyFont="1" applyBorder="1" applyAlignment="1">
      <alignment horizontal="center" wrapText="1"/>
    </xf>
    <xf numFmtId="0" fontId="11" fillId="0" borderId="44" xfId="0" applyFont="1" applyBorder="1" applyAlignment="1">
      <alignment horizontal="center" wrapText="1"/>
    </xf>
    <xf numFmtId="0" fontId="11" fillId="0" borderId="41" xfId="0" applyFont="1" applyBorder="1" applyAlignment="1">
      <alignment horizontal="center" wrapText="1"/>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10" xfId="0" applyFont="1" applyBorder="1" applyAlignment="1">
      <alignment horizontal="left" vertical="center" wrapText="1"/>
    </xf>
    <xf numFmtId="0" fontId="8" fillId="0" borderId="6"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167" fontId="4" fillId="0" borderId="0" xfId="0" applyNumberFormat="1" applyFont="1" applyAlignment="1">
      <alignment horizontal="center"/>
    </xf>
    <xf numFmtId="0" fontId="10" fillId="0" borderId="0" xfId="0" applyFont="1"/>
  </cellXfs>
  <cellStyles count="7">
    <cellStyle name="Comma" xfId="1" builtinId="3"/>
    <cellStyle name="Comma 2" xfId="2" xr:uid="{00000000-0005-0000-0000-000001000000}"/>
    <cellStyle name="Currency" xfId="3" builtinId="4"/>
    <cellStyle name="Currency 2" xfId="4" xr:uid="{00000000-0005-0000-0000-000003000000}"/>
    <cellStyle name="Normal" xfId="0" builtinId="0"/>
    <cellStyle name="Percent" xfId="5" builtinId="5"/>
    <cellStyle name="Percent 2"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492125</xdr:colOff>
      <xdr:row>3</xdr:row>
      <xdr:rowOff>111125</xdr:rowOff>
    </xdr:to>
    <xdr:pic>
      <xdr:nvPicPr>
        <xdr:cNvPr id="3126" name="Picture 1">
          <a:extLst>
            <a:ext uri="{FF2B5EF4-FFF2-40B4-BE49-F238E27FC236}">
              <a16:creationId xmlns:a16="http://schemas.microsoft.com/office/drawing/2014/main" id="{00000000-0008-0000-0000-00003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76200</xdr:colOff>
      <xdr:row>0</xdr:row>
      <xdr:rowOff>19050</xdr:rowOff>
    </xdr:from>
    <xdr:to>
      <xdr:col>1</xdr:col>
      <xdr:colOff>1885950</xdr:colOff>
      <xdr:row>3</xdr:row>
      <xdr:rowOff>0</xdr:rowOff>
    </xdr:to>
    <xdr:pic>
      <xdr:nvPicPr>
        <xdr:cNvPr id="8222" name="Picture 1">
          <a:extLst>
            <a:ext uri="{FF2B5EF4-FFF2-40B4-BE49-F238E27FC236}">
              <a16:creationId xmlns:a16="http://schemas.microsoft.com/office/drawing/2014/main" id="{00000000-0008-0000-0100-00001E2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5400" y="19050"/>
          <a:ext cx="18097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2"/>
  <sheetViews>
    <sheetView tabSelected="1" workbookViewId="0">
      <selection activeCell="N21" sqref="N21"/>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8"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87" t="s">
        <v>52</v>
      </c>
      <c r="C1" s="187"/>
      <c r="D1" s="187"/>
      <c r="E1" s="187"/>
      <c r="F1" s="187"/>
      <c r="G1" s="187"/>
      <c r="H1" s="187"/>
      <c r="I1" s="187"/>
      <c r="J1" s="187"/>
      <c r="K1" s="187"/>
      <c r="L1" s="187"/>
      <c r="M1" s="187"/>
      <c r="N1" s="187"/>
    </row>
    <row r="2" spans="2:26" s="1" customFormat="1" ht="20.25" customHeight="1" x14ac:dyDescent="0.25">
      <c r="B2" s="188" t="s">
        <v>45</v>
      </c>
      <c r="C2" s="188"/>
      <c r="D2" s="188"/>
      <c r="E2" s="188"/>
      <c r="F2" s="188"/>
      <c r="G2" s="188"/>
      <c r="H2" s="188"/>
      <c r="I2" s="188"/>
      <c r="J2" s="188"/>
      <c r="K2" s="188"/>
      <c r="L2" s="188"/>
      <c r="M2" s="188"/>
      <c r="N2" s="188"/>
      <c r="O2" s="2"/>
      <c r="P2" s="2"/>
      <c r="Q2" s="3"/>
      <c r="R2" s="2"/>
      <c r="S2" s="2"/>
      <c r="T2" s="2"/>
      <c r="U2" s="2"/>
      <c r="V2" s="2"/>
      <c r="W2" s="2"/>
      <c r="X2" s="2"/>
      <c r="Y2" s="2"/>
      <c r="Z2" s="2"/>
    </row>
    <row r="3" spans="2:26" s="1" customFormat="1" ht="20.25" customHeight="1" x14ac:dyDescent="0.25">
      <c r="G3" s="4" t="s">
        <v>0</v>
      </c>
      <c r="H3" s="5">
        <v>45901</v>
      </c>
      <c r="I3" s="21" t="s">
        <v>1</v>
      </c>
      <c r="J3" s="5">
        <v>46265</v>
      </c>
      <c r="L3" s="6"/>
      <c r="O3" s="7"/>
      <c r="P3" s="7"/>
      <c r="Q3" s="8"/>
      <c r="R3" s="9"/>
      <c r="S3" s="2"/>
      <c r="T3" s="2"/>
      <c r="U3" s="2"/>
      <c r="V3" s="2"/>
      <c r="W3" s="7"/>
      <c r="X3" s="10"/>
      <c r="Y3" s="11"/>
      <c r="Z3" s="11"/>
    </row>
    <row r="4" spans="2:26" s="1" customFormat="1" ht="20.25" customHeight="1" x14ac:dyDescent="0.25">
      <c r="B4" s="7"/>
      <c r="C4" s="7"/>
      <c r="D4" s="7"/>
      <c r="E4" s="7"/>
      <c r="F4" s="7"/>
      <c r="G4" s="2"/>
      <c r="H4" s="2"/>
      <c r="I4" s="12"/>
      <c r="J4" s="2"/>
      <c r="K4" s="7"/>
      <c r="L4" s="10"/>
      <c r="M4" s="11"/>
      <c r="N4" s="13"/>
      <c r="O4" s="11"/>
      <c r="P4" s="11"/>
      <c r="Q4" s="11"/>
      <c r="R4" s="11"/>
    </row>
    <row r="5" spans="2:26" s="1" customFormat="1" ht="20.25" customHeight="1" x14ac:dyDescent="0.25">
      <c r="B5" s="173" t="s">
        <v>2</v>
      </c>
      <c r="C5" s="173"/>
      <c r="D5" s="174" t="s">
        <v>53</v>
      </c>
      <c r="E5" s="174"/>
      <c r="F5" s="174"/>
      <c r="G5" s="174"/>
      <c r="H5" s="14"/>
      <c r="I5" s="15"/>
      <c r="J5" s="15"/>
      <c r="K5" s="173" t="s">
        <v>3</v>
      </c>
      <c r="L5" s="173"/>
      <c r="M5" s="174" t="s">
        <v>54</v>
      </c>
      <c r="N5" s="174"/>
    </row>
    <row r="6" spans="2:26" s="1" customFormat="1" ht="20.25" customHeight="1" x14ac:dyDescent="0.25">
      <c r="B6" s="173" t="s">
        <v>4</v>
      </c>
      <c r="C6" s="173"/>
      <c r="D6" s="174" t="s">
        <v>49</v>
      </c>
      <c r="E6" s="174"/>
      <c r="F6" s="174"/>
      <c r="G6" s="174"/>
      <c r="H6" s="14"/>
      <c r="I6" s="11"/>
      <c r="J6" s="11"/>
      <c r="K6" s="173" t="s">
        <v>5</v>
      </c>
      <c r="L6" s="173"/>
      <c r="M6" s="174" t="s">
        <v>53</v>
      </c>
      <c r="N6" s="174"/>
    </row>
    <row r="7" spans="2:26" ht="21" customHeight="1" thickBot="1" x14ac:dyDescent="0.25">
      <c r="C7" s="17"/>
      <c r="D7" s="17"/>
      <c r="E7" s="17"/>
    </row>
    <row r="8" spans="2:26" s="49" customFormat="1" ht="15.75" customHeight="1" thickBot="1" x14ac:dyDescent="0.25">
      <c r="B8" s="175" t="s">
        <v>6</v>
      </c>
      <c r="C8" s="176"/>
      <c r="D8" s="176"/>
      <c r="E8" s="176"/>
      <c r="F8" s="176"/>
      <c r="G8" s="176"/>
      <c r="H8" s="48" t="s">
        <v>7</v>
      </c>
      <c r="I8" s="177" t="s">
        <v>8</v>
      </c>
      <c r="J8" s="177"/>
      <c r="K8" s="177"/>
      <c r="L8" s="178"/>
      <c r="M8" s="179" t="s">
        <v>9</v>
      </c>
      <c r="N8" s="178"/>
    </row>
    <row r="9" spans="2:26" s="49" customFormat="1" ht="15.75" customHeight="1" x14ac:dyDescent="0.25">
      <c r="B9" s="50"/>
      <c r="C9" s="51"/>
      <c r="D9" s="51"/>
      <c r="E9" s="51"/>
      <c r="F9" s="51"/>
      <c r="G9" s="52"/>
      <c r="H9" s="53"/>
      <c r="I9" s="54"/>
      <c r="J9" s="54"/>
      <c r="K9" s="54"/>
      <c r="L9" s="55"/>
      <c r="M9" s="56" t="s">
        <v>10</v>
      </c>
      <c r="N9" s="57" t="s">
        <v>11</v>
      </c>
    </row>
    <row r="10" spans="2:26" s="49" customFormat="1" ht="15.75" customHeight="1" thickBot="1" x14ac:dyDescent="0.3">
      <c r="B10" s="58" t="s">
        <v>12</v>
      </c>
      <c r="C10" s="59" t="s">
        <v>13</v>
      </c>
      <c r="D10" s="60"/>
      <c r="E10" s="59"/>
      <c r="F10" s="59" t="s">
        <v>14</v>
      </c>
      <c r="G10" s="59" t="s">
        <v>15</v>
      </c>
      <c r="H10" s="61" t="s">
        <v>16</v>
      </c>
      <c r="I10" s="62" t="s">
        <v>17</v>
      </c>
      <c r="J10" s="62" t="s">
        <v>18</v>
      </c>
      <c r="K10" s="62" t="s">
        <v>19</v>
      </c>
      <c r="L10" s="63" t="s">
        <v>20</v>
      </c>
      <c r="M10" s="64" t="s">
        <v>21</v>
      </c>
      <c r="N10" s="65" t="s">
        <v>22</v>
      </c>
    </row>
    <row r="11" spans="2:26" s="49" customFormat="1" ht="15.75" customHeight="1" x14ac:dyDescent="0.2">
      <c r="B11" s="66"/>
      <c r="C11" s="67"/>
      <c r="D11" s="67"/>
      <c r="E11" s="67"/>
      <c r="F11" s="67"/>
      <c r="G11" s="68"/>
      <c r="H11" s="69"/>
      <c r="I11" s="70"/>
      <c r="J11" s="71"/>
      <c r="K11" s="72"/>
      <c r="L11" s="73"/>
      <c r="M11" s="74"/>
      <c r="N11" s="75"/>
      <c r="R11" s="76"/>
    </row>
    <row r="12" spans="2:26" s="49" customFormat="1" ht="15.75" customHeight="1" x14ac:dyDescent="0.2">
      <c r="B12" s="77">
        <v>45914</v>
      </c>
      <c r="C12" s="78">
        <v>146</v>
      </c>
      <c r="D12" s="78"/>
      <c r="E12" s="78"/>
      <c r="F12" s="78">
        <v>124</v>
      </c>
      <c r="G12" s="79">
        <f>SUM(C12:F12)</f>
        <v>270</v>
      </c>
      <c r="H12" s="80">
        <f>(C12*$E$29)+(D12*$E$30)+(E12*$E$31)+(F12*$E$32)</f>
        <v>1363.5</v>
      </c>
      <c r="I12" s="81">
        <f>(C12*$C$29)+(D12*$C$30)+(E12*$C$31)+(F12*$C$32)</f>
        <v>16295</v>
      </c>
      <c r="J12" s="82">
        <v>22031</v>
      </c>
      <c r="K12" s="82">
        <v>14370.38</v>
      </c>
      <c r="L12" s="79">
        <v>60</v>
      </c>
      <c r="M12" s="81">
        <f>H12+I12-K12</f>
        <v>3288.1200000000008</v>
      </c>
      <c r="N12" s="83">
        <f>K12/(H12+I12)</f>
        <v>0.81379392360619529</v>
      </c>
      <c r="Q12" s="76"/>
      <c r="R12" s="76"/>
    </row>
    <row r="13" spans="2:26" s="49" customFormat="1" ht="15.75" customHeight="1" x14ac:dyDescent="0.2">
      <c r="B13" s="77">
        <v>45944</v>
      </c>
      <c r="C13" s="78">
        <v>146</v>
      </c>
      <c r="D13" s="78"/>
      <c r="E13" s="78"/>
      <c r="F13" s="78">
        <v>126</v>
      </c>
      <c r="G13" s="79">
        <f t="shared" ref="G13:G23" si="0">SUM(C13:F13)</f>
        <v>272</v>
      </c>
      <c r="H13" s="80">
        <f t="shared" ref="H13:H21" si="1">(C13*$E$29)+(D13*$E$30)+(E13*$E$31)+(F13*$E$32)</f>
        <v>1373.6</v>
      </c>
      <c r="I13" s="81">
        <f t="shared" ref="I13:I23" si="2">(C13*$C$29)+(D13*$C$30)+(E13*$C$31)+(F13*$C$32)</f>
        <v>16478.699999999997</v>
      </c>
      <c r="J13" s="82">
        <v>33434.050000000003</v>
      </c>
      <c r="K13" s="82">
        <v>24157.42</v>
      </c>
      <c r="L13" s="79">
        <v>69</v>
      </c>
      <c r="M13" s="81">
        <f t="shared" ref="M13:M23" si="3">H13+I13-K13</f>
        <v>-6305.1200000000026</v>
      </c>
      <c r="N13" s="83">
        <f t="shared" ref="N13:N23" si="4">K13/(H13+I13)</f>
        <v>1.3531825030948395</v>
      </c>
      <c r="Q13" s="84"/>
      <c r="R13" s="76"/>
    </row>
    <row r="14" spans="2:26" s="49" customFormat="1" ht="15.75" customHeight="1" x14ac:dyDescent="0.2">
      <c r="B14" s="77">
        <v>45975</v>
      </c>
      <c r="C14" s="78">
        <v>148</v>
      </c>
      <c r="D14" s="78"/>
      <c r="E14" s="78"/>
      <c r="F14" s="78">
        <v>130</v>
      </c>
      <c r="G14" s="79">
        <f t="shared" si="0"/>
        <v>278</v>
      </c>
      <c r="H14" s="80">
        <f t="shared" si="1"/>
        <v>1403.9</v>
      </c>
      <c r="I14" s="81">
        <f t="shared" si="2"/>
        <v>16913.3</v>
      </c>
      <c r="J14" s="82">
        <v>14580.48</v>
      </c>
      <c r="K14" s="82">
        <v>11327.86</v>
      </c>
      <c r="L14" s="79">
        <v>31</v>
      </c>
      <c r="M14" s="81">
        <f t="shared" si="3"/>
        <v>6989.34</v>
      </c>
      <c r="N14" s="83">
        <f t="shared" si="4"/>
        <v>0.6184274889175202</v>
      </c>
      <c r="Q14" s="84"/>
      <c r="R14" s="76"/>
    </row>
    <row r="15" spans="2:26" s="49" customFormat="1" ht="15.75" customHeight="1" x14ac:dyDescent="0.2">
      <c r="B15" s="77">
        <v>46005</v>
      </c>
      <c r="C15" s="78">
        <v>149</v>
      </c>
      <c r="D15" s="78"/>
      <c r="E15" s="78"/>
      <c r="F15" s="78">
        <v>132</v>
      </c>
      <c r="G15" s="79">
        <f t="shared" si="0"/>
        <v>281</v>
      </c>
      <c r="H15" s="80">
        <f>(C15*$E$29)+(D15*$E$30)+(E15*$E$31)+(F15*$E$32)</f>
        <v>1419.05</v>
      </c>
      <c r="I15" s="81">
        <f>(C15*$C$29)+(D15*$C$30)+(E15*$C$31)+(F15*$C$32)</f>
        <v>17130.599999999999</v>
      </c>
      <c r="J15" s="82">
        <v>33509.79</v>
      </c>
      <c r="K15" s="82">
        <v>21727.79</v>
      </c>
      <c r="L15" s="79">
        <v>73</v>
      </c>
      <c r="M15" s="81">
        <f t="shared" si="3"/>
        <v>-3178.1400000000031</v>
      </c>
      <c r="N15" s="83">
        <f t="shared" si="4"/>
        <v>1.1713315345572559</v>
      </c>
      <c r="Q15" s="84"/>
      <c r="R15" s="76"/>
    </row>
    <row r="16" spans="2:26" s="49" customFormat="1" ht="15.75" customHeight="1" x14ac:dyDescent="0.2">
      <c r="B16" s="77">
        <v>46036</v>
      </c>
      <c r="C16" s="78">
        <v>146</v>
      </c>
      <c r="D16" s="78"/>
      <c r="E16" s="78"/>
      <c r="F16" s="78">
        <v>134</v>
      </c>
      <c r="G16" s="79">
        <f t="shared" si="0"/>
        <v>280</v>
      </c>
      <c r="H16" s="80">
        <f t="shared" si="1"/>
        <v>1414</v>
      </c>
      <c r="I16" s="81">
        <f t="shared" si="2"/>
        <v>17213.5</v>
      </c>
      <c r="J16" s="82">
        <v>35449.22</v>
      </c>
      <c r="K16" s="82">
        <v>22414.13</v>
      </c>
      <c r="L16" s="79">
        <v>68</v>
      </c>
      <c r="M16" s="81">
        <f t="shared" si="3"/>
        <v>-3786.630000000001</v>
      </c>
      <c r="N16" s="83">
        <f t="shared" si="4"/>
        <v>1.2032817071534023</v>
      </c>
      <c r="Q16" s="84"/>
      <c r="R16" s="76"/>
    </row>
    <row r="17" spans="2:18" s="49" customFormat="1" ht="15.75" customHeight="1" x14ac:dyDescent="0.2">
      <c r="B17" s="77">
        <v>46067</v>
      </c>
      <c r="C17" s="78">
        <v>146</v>
      </c>
      <c r="D17" s="78"/>
      <c r="E17" s="78"/>
      <c r="F17" s="78">
        <v>135</v>
      </c>
      <c r="G17" s="79">
        <f t="shared" si="0"/>
        <v>281</v>
      </c>
      <c r="H17" s="80">
        <f t="shared" si="1"/>
        <v>1419.05</v>
      </c>
      <c r="I17" s="81">
        <f t="shared" si="2"/>
        <v>17305.349999999999</v>
      </c>
      <c r="J17" s="82">
        <v>19342.97</v>
      </c>
      <c r="K17" s="82">
        <v>12996.24</v>
      </c>
      <c r="L17" s="79">
        <v>47</v>
      </c>
      <c r="M17" s="81">
        <f t="shared" si="3"/>
        <v>5728.159999999998</v>
      </c>
      <c r="N17" s="83">
        <f t="shared" si="4"/>
        <v>0.6940804511760057</v>
      </c>
      <c r="Q17" s="84"/>
      <c r="R17" s="76"/>
    </row>
    <row r="18" spans="2:18" s="49" customFormat="1" ht="15.75" customHeight="1" x14ac:dyDescent="0.2">
      <c r="B18" s="77">
        <v>46095</v>
      </c>
      <c r="C18" s="78">
        <v>146</v>
      </c>
      <c r="D18" s="78"/>
      <c r="E18" s="78"/>
      <c r="F18" s="78">
        <v>135</v>
      </c>
      <c r="G18" s="79">
        <f t="shared" si="0"/>
        <v>281</v>
      </c>
      <c r="H18" s="80">
        <f t="shared" si="1"/>
        <v>1419.05</v>
      </c>
      <c r="I18" s="81">
        <f t="shared" si="2"/>
        <v>17305.349999999999</v>
      </c>
      <c r="J18" s="82">
        <v>24734.93</v>
      </c>
      <c r="K18" s="82">
        <v>16697.189999999999</v>
      </c>
      <c r="L18" s="79">
        <v>67</v>
      </c>
      <c r="M18" s="81">
        <f t="shared" si="3"/>
        <v>2027.2099999999991</v>
      </c>
      <c r="N18" s="83">
        <f t="shared" si="4"/>
        <v>0.89173431458417896</v>
      </c>
      <c r="Q18" s="84"/>
      <c r="R18" s="76"/>
    </row>
    <row r="19" spans="2:18" s="49" customFormat="1" ht="15.75" customHeight="1" x14ac:dyDescent="0.2">
      <c r="B19" s="77">
        <v>46126</v>
      </c>
      <c r="C19" s="78">
        <v>145</v>
      </c>
      <c r="D19" s="78"/>
      <c r="E19" s="78"/>
      <c r="F19" s="78">
        <v>135</v>
      </c>
      <c r="G19" s="79">
        <f t="shared" si="0"/>
        <v>280</v>
      </c>
      <c r="H19" s="80">
        <f t="shared" si="1"/>
        <v>1414</v>
      </c>
      <c r="I19" s="81">
        <f t="shared" si="2"/>
        <v>17271.75</v>
      </c>
      <c r="J19" s="82">
        <v>23673.07</v>
      </c>
      <c r="K19" s="82">
        <v>15760.39</v>
      </c>
      <c r="L19" s="79">
        <v>55</v>
      </c>
      <c r="M19" s="81">
        <f t="shared" si="3"/>
        <v>2925.3600000000006</v>
      </c>
      <c r="N19" s="83">
        <f t="shared" si="4"/>
        <v>0.84344433592443435</v>
      </c>
      <c r="Q19" s="84"/>
      <c r="R19" s="76"/>
    </row>
    <row r="20" spans="2:18" s="49" customFormat="1" ht="15.75" customHeight="1" x14ac:dyDescent="0.2">
      <c r="B20" s="77">
        <v>46156</v>
      </c>
      <c r="C20" s="78">
        <v>138</v>
      </c>
      <c r="D20" s="78"/>
      <c r="E20" s="78"/>
      <c r="F20" s="78">
        <v>136</v>
      </c>
      <c r="G20" s="79">
        <f t="shared" si="0"/>
        <v>274</v>
      </c>
      <c r="H20" s="80">
        <f t="shared" si="1"/>
        <v>1383.6999999999998</v>
      </c>
      <c r="I20" s="81">
        <f t="shared" si="2"/>
        <v>17128.399999999998</v>
      </c>
      <c r="J20" s="82">
        <v>0</v>
      </c>
      <c r="K20" s="82">
        <v>0</v>
      </c>
      <c r="L20" s="79">
        <v>0</v>
      </c>
      <c r="M20" s="81">
        <f t="shared" si="3"/>
        <v>18512.099999999999</v>
      </c>
      <c r="N20" s="83">
        <f t="shared" si="4"/>
        <v>0</v>
      </c>
      <c r="Q20" s="84"/>
      <c r="R20" s="76"/>
    </row>
    <row r="21" spans="2:18" s="49" customFormat="1" ht="15.75" customHeight="1" x14ac:dyDescent="0.2">
      <c r="B21" s="77">
        <v>46187</v>
      </c>
      <c r="C21" s="78">
        <v>142</v>
      </c>
      <c r="D21" s="78"/>
      <c r="E21" s="78"/>
      <c r="F21" s="78">
        <v>135</v>
      </c>
      <c r="G21" s="79">
        <f t="shared" si="0"/>
        <v>277</v>
      </c>
      <c r="H21" s="80">
        <f t="shared" si="1"/>
        <v>1398.85</v>
      </c>
      <c r="I21" s="81">
        <f t="shared" si="2"/>
        <v>17170.95</v>
      </c>
      <c r="J21" s="82">
        <v>73220.929999999993</v>
      </c>
      <c r="K21" s="82">
        <v>29634.29</v>
      </c>
      <c r="L21" s="79">
        <v>160</v>
      </c>
      <c r="M21" s="81">
        <f t="shared" si="3"/>
        <v>-11064.490000000002</v>
      </c>
      <c r="N21" s="83">
        <f t="shared" si="4"/>
        <v>1.595832480694461</v>
      </c>
      <c r="Q21" s="84"/>
      <c r="R21" s="76"/>
    </row>
    <row r="22" spans="2:18" s="49" customFormat="1" ht="15.75" customHeight="1" x14ac:dyDescent="0.2">
      <c r="B22" s="77">
        <v>46217</v>
      </c>
      <c r="C22" s="78"/>
      <c r="D22" s="78"/>
      <c r="E22" s="78"/>
      <c r="F22" s="78"/>
      <c r="G22" s="79">
        <f t="shared" si="0"/>
        <v>0</v>
      </c>
      <c r="H22" s="80">
        <f>(C22*(($E$29)-0.06))+(D22*(($E$30)-0.06))+(E22*(($E$31)-0.06))+(F22*(($E$32)-0.06))</f>
        <v>0</v>
      </c>
      <c r="I22" s="81">
        <f t="shared" si="2"/>
        <v>0</v>
      </c>
      <c r="J22" s="82"/>
      <c r="K22" s="82"/>
      <c r="L22" s="79"/>
      <c r="M22" s="81">
        <f t="shared" si="3"/>
        <v>0</v>
      </c>
      <c r="N22" s="136" t="e">
        <f t="shared" si="4"/>
        <v>#DIV/0!</v>
      </c>
      <c r="Q22" s="84"/>
      <c r="R22" s="76"/>
    </row>
    <row r="23" spans="2:18" s="49" customFormat="1" ht="15.75" customHeight="1" x14ac:dyDescent="0.2">
      <c r="B23" s="77">
        <v>46248</v>
      </c>
      <c r="C23" s="78"/>
      <c r="D23" s="78"/>
      <c r="E23" s="78"/>
      <c r="F23" s="78"/>
      <c r="G23" s="79">
        <f t="shared" si="0"/>
        <v>0</v>
      </c>
      <c r="H23" s="80">
        <f>(C23*(($E$29)-0.06))+(D23*(($E$30)-0.06))+(E23*(($E$31)-0.06))+(F23*(($E$32)-0.06))</f>
        <v>0</v>
      </c>
      <c r="I23" s="81">
        <f t="shared" si="2"/>
        <v>0</v>
      </c>
      <c r="J23" s="82"/>
      <c r="K23" s="82"/>
      <c r="L23" s="79"/>
      <c r="M23" s="81">
        <f t="shared" si="3"/>
        <v>0</v>
      </c>
      <c r="N23" s="136" t="e">
        <f t="shared" si="4"/>
        <v>#DIV/0!</v>
      </c>
      <c r="Q23" s="84"/>
      <c r="R23" s="76"/>
    </row>
    <row r="24" spans="2:18" s="49" customFormat="1" ht="15.75" customHeight="1" thickBot="1" x14ac:dyDescent="0.25">
      <c r="B24" s="85"/>
      <c r="C24" s="86"/>
      <c r="D24" s="86"/>
      <c r="E24" s="86"/>
      <c r="F24" s="86"/>
      <c r="G24" s="87"/>
      <c r="H24" s="88"/>
      <c r="I24" s="89"/>
      <c r="J24" s="90"/>
      <c r="K24" s="91"/>
      <c r="L24" s="92"/>
      <c r="M24" s="93"/>
      <c r="N24" s="94"/>
    </row>
    <row r="25" spans="2:18" s="102" customFormat="1" ht="15.75" customHeight="1" thickBot="1" x14ac:dyDescent="0.3">
      <c r="B25" s="95" t="s">
        <v>23</v>
      </c>
      <c r="C25" s="96">
        <f>AVERAGEIF(C12:C23,"&gt;0")</f>
        <v>145.19999999999999</v>
      </c>
      <c r="D25" s="96"/>
      <c r="E25" s="96"/>
      <c r="F25" s="96">
        <f>AVERAGEIF(F12:F23,"&gt;0")</f>
        <v>132.19999999999999</v>
      </c>
      <c r="G25" s="96">
        <f>AVERAGEIF(G12:G23,"&gt;0")</f>
        <v>277.39999999999998</v>
      </c>
      <c r="H25" s="97">
        <f>SUM(H11:H23)</f>
        <v>14008.699999999999</v>
      </c>
      <c r="I25" s="97">
        <f>SUM(I11:I23)</f>
        <v>170212.90000000002</v>
      </c>
      <c r="J25" s="98">
        <f>SUM(J11:J23)</f>
        <v>279976.44</v>
      </c>
      <c r="K25" s="99">
        <f>SUM(K11:K23)</f>
        <v>169085.69000000003</v>
      </c>
      <c r="L25" s="100">
        <f>SUM(L12:L23)</f>
        <v>630</v>
      </c>
      <c r="M25" s="97">
        <f>SUM(M12:M23)</f>
        <v>15135.909999999989</v>
      </c>
      <c r="N25" s="101">
        <f>IF((H25+I25)&gt;0,K25/(H25+I25),"")</f>
        <v>0.9178385705042188</v>
      </c>
    </row>
    <row r="26" spans="2:18" s="49" customFormat="1" ht="15.75" customHeight="1" x14ac:dyDescent="0.2">
      <c r="J26" s="103"/>
      <c r="L26" s="104"/>
    </row>
    <row r="27" spans="2:18" s="49" customFormat="1" ht="15.75" customHeight="1" x14ac:dyDescent="0.25">
      <c r="B27" s="180" t="s">
        <v>24</v>
      </c>
      <c r="C27" s="181"/>
      <c r="D27" s="181"/>
      <c r="E27" s="181"/>
      <c r="F27" s="181"/>
      <c r="G27" s="182"/>
      <c r="H27" s="105"/>
      <c r="J27" s="183" t="s">
        <v>25</v>
      </c>
      <c r="K27" s="184"/>
      <c r="L27" s="184"/>
      <c r="M27" s="184"/>
      <c r="N27" s="185"/>
    </row>
    <row r="28" spans="2:18" s="49" customFormat="1" ht="15.75" customHeight="1" x14ac:dyDescent="0.2">
      <c r="B28" s="106"/>
      <c r="C28" s="184" t="s">
        <v>26</v>
      </c>
      <c r="D28" s="185"/>
      <c r="E28" s="186" t="s">
        <v>61</v>
      </c>
      <c r="F28" s="185"/>
      <c r="G28" s="107" t="s">
        <v>15</v>
      </c>
      <c r="H28" s="103"/>
      <c r="J28" s="166" t="s">
        <v>27</v>
      </c>
      <c r="K28" s="167"/>
      <c r="L28" s="167"/>
      <c r="M28" s="168"/>
      <c r="N28" s="108">
        <f>J25/L25</f>
        <v>444.4070476190476</v>
      </c>
    </row>
    <row r="29" spans="2:18" s="49" customFormat="1" ht="15.75" customHeight="1" x14ac:dyDescent="0.2">
      <c r="B29" s="109" t="s">
        <v>28</v>
      </c>
      <c r="C29" s="170">
        <v>33.6</v>
      </c>
      <c r="D29" s="171"/>
      <c r="E29" s="172">
        <v>5.05</v>
      </c>
      <c r="F29" s="171"/>
      <c r="G29" s="110">
        <f>C29+E29</f>
        <v>38.65</v>
      </c>
      <c r="H29" s="111"/>
      <c r="J29" s="166" t="s">
        <v>29</v>
      </c>
      <c r="K29" s="167"/>
      <c r="L29" s="167"/>
      <c r="M29" s="168"/>
      <c r="N29" s="108">
        <f>K25/L25</f>
        <v>268.38998412698419</v>
      </c>
    </row>
    <row r="30" spans="2:18" s="49" customFormat="1" ht="15.75" customHeight="1" x14ac:dyDescent="0.2">
      <c r="B30" s="112"/>
      <c r="C30" s="170"/>
      <c r="D30" s="171"/>
      <c r="E30" s="172"/>
      <c r="F30" s="171"/>
      <c r="G30" s="110"/>
      <c r="H30" s="111"/>
      <c r="J30" s="166" t="s">
        <v>30</v>
      </c>
      <c r="K30" s="167"/>
      <c r="L30" s="167"/>
      <c r="M30" s="168"/>
      <c r="N30" s="113">
        <f>((L25/COUNTIF(G12:G23,"&gt;0"))*12)/G25</f>
        <v>2.7253064167267484</v>
      </c>
    </row>
    <row r="31" spans="2:18" s="49" customFormat="1" ht="15.75" customHeight="1" x14ac:dyDescent="0.2">
      <c r="B31" s="109"/>
      <c r="C31" s="170"/>
      <c r="D31" s="171"/>
      <c r="E31" s="172"/>
      <c r="F31" s="171"/>
      <c r="G31" s="110"/>
      <c r="H31" s="111"/>
      <c r="J31" s="166" t="s">
        <v>31</v>
      </c>
      <c r="K31" s="167"/>
      <c r="L31" s="167"/>
      <c r="M31" s="168"/>
      <c r="N31" s="114">
        <f>K25/J25</f>
        <v>0.60392828053674807</v>
      </c>
    </row>
    <row r="32" spans="2:18" s="49" customFormat="1" ht="15.75" customHeight="1" x14ac:dyDescent="0.2">
      <c r="B32" s="109" t="s">
        <v>32</v>
      </c>
      <c r="C32" s="170">
        <v>91.85</v>
      </c>
      <c r="D32" s="171"/>
      <c r="E32" s="172">
        <v>5.05</v>
      </c>
      <c r="F32" s="171"/>
      <c r="G32" s="110">
        <f>C32+E32</f>
        <v>96.899999999999991</v>
      </c>
      <c r="H32" s="111"/>
      <c r="J32" s="166" t="s">
        <v>33</v>
      </c>
      <c r="K32" s="167"/>
      <c r="L32" s="167"/>
      <c r="M32" s="168"/>
      <c r="N32" s="108">
        <f>K25/G25/(COUNTIF(G12:G23,"&gt;0"))</f>
        <v>60.953745493871679</v>
      </c>
    </row>
    <row r="33" spans="2:14" s="49" customFormat="1" ht="15.75" customHeight="1" x14ac:dyDescent="0.2">
      <c r="C33" s="111"/>
      <c r="D33" s="111"/>
      <c r="E33" s="122"/>
      <c r="F33" s="115"/>
      <c r="G33" s="111"/>
      <c r="H33" s="111"/>
      <c r="J33" s="116"/>
      <c r="K33" s="116"/>
      <c r="L33" s="116"/>
      <c r="M33" s="116"/>
      <c r="N33" s="117"/>
    </row>
    <row r="34" spans="2:14" s="49" customFormat="1" ht="15.75" customHeight="1" thickBot="1" x14ac:dyDescent="0.25">
      <c r="J34" s="103"/>
      <c r="L34" s="104"/>
    </row>
    <row r="35" spans="2:14" s="49" customFormat="1" ht="15.75" customHeight="1" thickBot="1" x14ac:dyDescent="0.3">
      <c r="B35" s="169" t="s">
        <v>34</v>
      </c>
      <c r="C35" s="169"/>
      <c r="D35" s="169"/>
      <c r="E35" s="169"/>
      <c r="F35" s="169"/>
      <c r="G35" s="169"/>
      <c r="H35" s="105"/>
      <c r="J35" s="151" t="s">
        <v>36</v>
      </c>
      <c r="K35" s="152"/>
      <c r="L35" s="152"/>
      <c r="M35" s="152"/>
      <c r="N35" s="153"/>
    </row>
    <row r="36" spans="2:14" s="49" customFormat="1" ht="15.75" customHeight="1" x14ac:dyDescent="0.2">
      <c r="B36" s="163" t="s">
        <v>55</v>
      </c>
      <c r="C36" s="164"/>
      <c r="D36" s="164"/>
      <c r="E36" s="164"/>
      <c r="F36" s="164"/>
      <c r="G36" s="165"/>
      <c r="H36" s="118"/>
      <c r="J36" s="154" t="s">
        <v>27</v>
      </c>
      <c r="K36" s="155"/>
      <c r="L36" s="155"/>
      <c r="M36" s="156"/>
      <c r="N36" s="127">
        <v>407.42</v>
      </c>
    </row>
    <row r="37" spans="2:14" s="49" customFormat="1" ht="15.75" customHeight="1" x14ac:dyDescent="0.2">
      <c r="B37" s="157" t="s">
        <v>57</v>
      </c>
      <c r="C37" s="158"/>
      <c r="D37" s="158"/>
      <c r="E37" s="158"/>
      <c r="F37" s="158"/>
      <c r="G37" s="159"/>
      <c r="H37" s="118"/>
      <c r="J37" s="154" t="s">
        <v>29</v>
      </c>
      <c r="K37" s="155"/>
      <c r="L37" s="155"/>
      <c r="M37" s="156"/>
      <c r="N37" s="127">
        <v>273.95999999999998</v>
      </c>
    </row>
    <row r="38" spans="2:14" s="49" customFormat="1" ht="15.75" customHeight="1" x14ac:dyDescent="0.2">
      <c r="B38" s="157" t="s">
        <v>58</v>
      </c>
      <c r="C38" s="158"/>
      <c r="D38" s="158"/>
      <c r="E38" s="158"/>
      <c r="F38" s="158"/>
      <c r="G38" s="159"/>
      <c r="H38" s="118"/>
      <c r="J38" s="154" t="s">
        <v>30</v>
      </c>
      <c r="K38" s="155"/>
      <c r="L38" s="155"/>
      <c r="M38" s="156"/>
      <c r="N38" s="128">
        <v>2.73</v>
      </c>
    </row>
    <row r="39" spans="2:14" s="49" customFormat="1" ht="15.75" customHeight="1" x14ac:dyDescent="0.2">
      <c r="B39" s="157" t="s">
        <v>56</v>
      </c>
      <c r="C39" s="158"/>
      <c r="D39" s="158"/>
      <c r="E39" s="158"/>
      <c r="F39" s="158"/>
      <c r="G39" s="159"/>
      <c r="H39" s="118"/>
      <c r="J39" s="154" t="s">
        <v>31</v>
      </c>
      <c r="K39" s="155"/>
      <c r="L39" s="155"/>
      <c r="M39" s="156"/>
      <c r="N39" s="129">
        <v>0.6724</v>
      </c>
    </row>
    <row r="40" spans="2:14" s="49" customFormat="1" ht="15.75" thickBot="1" x14ac:dyDescent="0.25">
      <c r="B40" s="160" t="s">
        <v>35</v>
      </c>
      <c r="C40" s="161"/>
      <c r="D40" s="161"/>
      <c r="E40" s="161"/>
      <c r="F40" s="161"/>
      <c r="G40" s="162"/>
      <c r="H40" s="118"/>
      <c r="J40" s="154" t="s">
        <v>33</v>
      </c>
      <c r="K40" s="155"/>
      <c r="L40" s="155"/>
      <c r="M40" s="156"/>
      <c r="N40" s="127">
        <v>62.43</v>
      </c>
    </row>
    <row r="41" spans="2:14" s="49" customFormat="1" ht="15.75" x14ac:dyDescent="0.25">
      <c r="J41" s="148" t="s">
        <v>37</v>
      </c>
      <c r="K41" s="149"/>
      <c r="L41" s="149"/>
      <c r="M41" s="150"/>
      <c r="N41" s="127">
        <v>6551.81</v>
      </c>
    </row>
    <row r="42" spans="2:14" s="49" customFormat="1" ht="10.15" customHeight="1" x14ac:dyDescent="0.2">
      <c r="J42" s="103"/>
      <c r="L42" s="104"/>
    </row>
    <row r="43" spans="2:14" s="49" customFormat="1" ht="10.15" customHeight="1" x14ac:dyDescent="0.2">
      <c r="B43" s="139" t="s">
        <v>50</v>
      </c>
      <c r="C43" s="140"/>
      <c r="D43" s="140"/>
      <c r="E43" s="140"/>
      <c r="F43" s="140"/>
      <c r="G43" s="140"/>
      <c r="H43" s="140"/>
      <c r="I43" s="140"/>
      <c r="J43" s="140"/>
      <c r="K43" s="140"/>
      <c r="L43" s="140"/>
      <c r="M43" s="140"/>
      <c r="N43" s="141"/>
    </row>
    <row r="44" spans="2:14" s="49" customFormat="1" ht="10.15" customHeight="1" x14ac:dyDescent="0.2">
      <c r="B44" s="142"/>
      <c r="C44" s="143"/>
      <c r="D44" s="143"/>
      <c r="E44" s="143"/>
      <c r="F44" s="143"/>
      <c r="G44" s="143"/>
      <c r="H44" s="143"/>
      <c r="I44" s="143"/>
      <c r="J44" s="143"/>
      <c r="K44" s="143"/>
      <c r="L44" s="143"/>
      <c r="M44" s="143"/>
      <c r="N44" s="144"/>
    </row>
    <row r="45" spans="2:14" s="49" customFormat="1" ht="10.15" customHeight="1" x14ac:dyDescent="0.2">
      <c r="B45" s="142"/>
      <c r="C45" s="143"/>
      <c r="D45" s="143"/>
      <c r="E45" s="143"/>
      <c r="F45" s="143"/>
      <c r="G45" s="143"/>
      <c r="H45" s="143"/>
      <c r="I45" s="143"/>
      <c r="J45" s="143"/>
      <c r="K45" s="143"/>
      <c r="L45" s="143"/>
      <c r="M45" s="143"/>
      <c r="N45" s="144"/>
    </row>
    <row r="46" spans="2:14" s="49" customFormat="1" ht="10.15" customHeight="1" x14ac:dyDescent="0.2">
      <c r="B46" s="142"/>
      <c r="C46" s="143"/>
      <c r="D46" s="143"/>
      <c r="E46" s="143"/>
      <c r="F46" s="143"/>
      <c r="G46" s="143"/>
      <c r="H46" s="143"/>
      <c r="I46" s="143"/>
      <c r="J46" s="143"/>
      <c r="K46" s="143"/>
      <c r="L46" s="143"/>
      <c r="M46" s="143"/>
      <c r="N46" s="144"/>
    </row>
    <row r="47" spans="2:14" s="49" customFormat="1" ht="10.15" customHeight="1" x14ac:dyDescent="0.2">
      <c r="B47" s="142"/>
      <c r="C47" s="143"/>
      <c r="D47" s="143"/>
      <c r="E47" s="143"/>
      <c r="F47" s="143"/>
      <c r="G47" s="143"/>
      <c r="H47" s="143"/>
      <c r="I47" s="143"/>
      <c r="J47" s="143"/>
      <c r="K47" s="143"/>
      <c r="L47" s="143"/>
      <c r="M47" s="143"/>
      <c r="N47" s="144"/>
    </row>
    <row r="48" spans="2:14" s="49" customFormat="1" ht="10.15" customHeight="1" x14ac:dyDescent="0.2">
      <c r="B48" s="142"/>
      <c r="C48" s="143"/>
      <c r="D48" s="143"/>
      <c r="E48" s="143"/>
      <c r="F48" s="143"/>
      <c r="G48" s="143"/>
      <c r="H48" s="143"/>
      <c r="I48" s="143"/>
      <c r="J48" s="143"/>
      <c r="K48" s="143"/>
      <c r="L48" s="143"/>
      <c r="M48" s="143"/>
      <c r="N48" s="144"/>
    </row>
    <row r="49" spans="2:14" s="49" customFormat="1" ht="10.15" customHeight="1" x14ac:dyDescent="0.2">
      <c r="B49" s="145"/>
      <c r="C49" s="146"/>
      <c r="D49" s="146"/>
      <c r="E49" s="146"/>
      <c r="F49" s="146"/>
      <c r="G49" s="146"/>
      <c r="H49" s="146"/>
      <c r="I49" s="146"/>
      <c r="J49" s="146"/>
      <c r="K49" s="146"/>
      <c r="L49" s="146"/>
      <c r="M49" s="146"/>
      <c r="N49" s="147"/>
    </row>
    <row r="50" spans="2:14" s="49" customFormat="1" ht="10.15" customHeight="1" x14ac:dyDescent="0.2">
      <c r="J50" s="103"/>
      <c r="L50" s="104"/>
    </row>
    <row r="51" spans="2:14" s="49" customFormat="1" ht="10.15" customHeight="1" x14ac:dyDescent="0.2">
      <c r="J51" s="103"/>
      <c r="L51" s="104"/>
    </row>
    <row r="52" spans="2:14" s="49" customFormat="1" ht="10.15" customHeight="1" x14ac:dyDescent="0.2">
      <c r="J52" s="103"/>
      <c r="L52" s="104"/>
    </row>
  </sheetData>
  <mergeCells count="44">
    <mergeCell ref="B1:N1"/>
    <mergeCell ref="B2:N2"/>
    <mergeCell ref="B5:C5"/>
    <mergeCell ref="D5:G5"/>
    <mergeCell ref="K5:L5"/>
    <mergeCell ref="M5:N5"/>
    <mergeCell ref="B27:G27"/>
    <mergeCell ref="J27:N27"/>
    <mergeCell ref="C28:D28"/>
    <mergeCell ref="E28:F28"/>
    <mergeCell ref="J28:M28"/>
    <mergeCell ref="B6:C6"/>
    <mergeCell ref="D6:G6"/>
    <mergeCell ref="K6:L6"/>
    <mergeCell ref="M6:N6"/>
    <mergeCell ref="B8:G8"/>
    <mergeCell ref="I8:L8"/>
    <mergeCell ref="M8:N8"/>
    <mergeCell ref="J32:M32"/>
    <mergeCell ref="B35:G35"/>
    <mergeCell ref="C32:D32"/>
    <mergeCell ref="E32:F32"/>
    <mergeCell ref="C29:D29"/>
    <mergeCell ref="E29:F29"/>
    <mergeCell ref="J29:M29"/>
    <mergeCell ref="C30:D30"/>
    <mergeCell ref="E30:F30"/>
    <mergeCell ref="J30:M30"/>
    <mergeCell ref="C31:D31"/>
    <mergeCell ref="E31:F31"/>
    <mergeCell ref="J31:M31"/>
    <mergeCell ref="B43:N49"/>
    <mergeCell ref="J41:M41"/>
    <mergeCell ref="J35:N35"/>
    <mergeCell ref="J36:M36"/>
    <mergeCell ref="J37:M37"/>
    <mergeCell ref="J38:M38"/>
    <mergeCell ref="J39:M39"/>
    <mergeCell ref="J40:M40"/>
    <mergeCell ref="B39:G39"/>
    <mergeCell ref="B40:G40"/>
    <mergeCell ref="B37:G37"/>
    <mergeCell ref="B38:G38"/>
    <mergeCell ref="B36:G36"/>
  </mergeCells>
  <phoneticPr fontId="0" type="noConversion"/>
  <pageMargins left="0.7" right="0.7" top="0.75" bottom="0.75" header="0.3" footer="0.3"/>
  <pageSetup scale="6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I34"/>
  <sheetViews>
    <sheetView workbookViewId="0">
      <selection activeCell="H18" sqref="H18"/>
    </sheetView>
  </sheetViews>
  <sheetFormatPr defaultRowHeight="15" x14ac:dyDescent="0.25"/>
  <cols>
    <col min="1" max="1" width="4" customWidth="1"/>
    <col min="2" max="2" width="31.140625" style="16" customWidth="1"/>
    <col min="3" max="3" width="15.7109375" style="29" customWidth="1"/>
    <col min="4" max="4" width="12.85546875" style="29" customWidth="1"/>
    <col min="5" max="5" width="12.28515625" style="29" customWidth="1"/>
    <col min="6" max="6" width="13.5703125" style="29" customWidth="1"/>
    <col min="7" max="7" width="17" style="29" customWidth="1"/>
    <col min="8" max="8" width="33.7109375" style="19" customWidth="1"/>
    <col min="9" max="9" width="9.140625" style="16"/>
  </cols>
  <sheetData>
    <row r="1" spans="2:9" ht="18" x14ac:dyDescent="0.25">
      <c r="B1" s="187" t="str">
        <f>Standard!B1</f>
        <v>Red Lake Public School</v>
      </c>
      <c r="C1" s="187"/>
      <c r="D1" s="187"/>
      <c r="E1" s="187"/>
      <c r="F1" s="187"/>
      <c r="G1" s="187"/>
      <c r="H1" s="187"/>
      <c r="I1" s="187"/>
    </row>
    <row r="2" spans="2:9" ht="18" x14ac:dyDescent="0.25">
      <c r="B2" s="206" t="s">
        <v>51</v>
      </c>
      <c r="C2" s="206"/>
      <c r="D2" s="206"/>
      <c r="E2" s="206"/>
      <c r="F2" s="206"/>
      <c r="G2" s="206"/>
      <c r="H2" s="206"/>
      <c r="I2" s="206"/>
    </row>
    <row r="3" spans="2:9" ht="18" x14ac:dyDescent="0.25">
      <c r="B3" s="23"/>
      <c r="C3" s="23"/>
      <c r="D3" s="23"/>
      <c r="E3" s="23"/>
      <c r="F3" s="23"/>
      <c r="G3" s="23"/>
      <c r="H3" s="123"/>
      <c r="I3" s="23"/>
    </row>
    <row r="4" spans="2:9" ht="18" x14ac:dyDescent="0.25">
      <c r="B4" s="22"/>
      <c r="C4" s="23" t="s">
        <v>41</v>
      </c>
      <c r="D4" s="5">
        <f>Standard!H3</f>
        <v>45901</v>
      </c>
      <c r="E4" s="206" t="s">
        <v>1</v>
      </c>
      <c r="F4" s="206"/>
      <c r="G4" s="24">
        <f>Standard!J3</f>
        <v>46265</v>
      </c>
      <c r="H4" s="6"/>
      <c r="I4" s="12"/>
    </row>
    <row r="5" spans="2:9" ht="18" x14ac:dyDescent="0.25">
      <c r="B5" s="7"/>
      <c r="C5" s="25"/>
      <c r="D5" s="25"/>
      <c r="E5" s="25"/>
      <c r="F5" s="26"/>
      <c r="G5" s="26"/>
      <c r="H5" s="124"/>
      <c r="I5" s="22"/>
    </row>
    <row r="6" spans="2:9" ht="18" x14ac:dyDescent="0.25">
      <c r="B6" s="4" t="s">
        <v>2</v>
      </c>
      <c r="C6" s="12" t="str">
        <f>Standard!D5</f>
        <v>S174</v>
      </c>
      <c r="D6" s="27"/>
      <c r="E6" s="27"/>
      <c r="F6" s="28"/>
      <c r="G6" s="44" t="s">
        <v>4</v>
      </c>
      <c r="H6" s="124" t="str">
        <f>Standard!D6</f>
        <v>Dental</v>
      </c>
      <c r="I6" s="2"/>
    </row>
    <row r="7" spans="2:9" ht="18.75" thickBot="1" x14ac:dyDescent="0.3">
      <c r="B7" s="4"/>
      <c r="C7" s="26"/>
      <c r="D7" s="27"/>
      <c r="E7" s="27"/>
      <c r="F7" s="28"/>
      <c r="G7" s="44"/>
      <c r="H7" s="124"/>
      <c r="I7" s="12"/>
    </row>
    <row r="8" spans="2:9" ht="15.75" customHeight="1" thickBot="1" x14ac:dyDescent="0.3">
      <c r="B8" s="192" t="s">
        <v>38</v>
      </c>
      <c r="C8" s="194" t="s">
        <v>39</v>
      </c>
      <c r="D8" s="189" t="s">
        <v>44</v>
      </c>
      <c r="E8" s="190"/>
      <c r="F8" s="191"/>
      <c r="G8" s="196" t="s">
        <v>43</v>
      </c>
      <c r="H8" s="198" t="s">
        <v>59</v>
      </c>
      <c r="I8" s="121"/>
    </row>
    <row r="9" spans="2:9" ht="29.25" customHeight="1" thickBot="1" x14ac:dyDescent="0.3">
      <c r="B9" s="193"/>
      <c r="C9" s="195"/>
      <c r="D9" s="47" t="s">
        <v>26</v>
      </c>
      <c r="E9" s="46" t="s">
        <v>40</v>
      </c>
      <c r="F9" s="46" t="s">
        <v>15</v>
      </c>
      <c r="G9" s="197"/>
      <c r="H9" s="199"/>
      <c r="I9" s="121"/>
    </row>
    <row r="10" spans="2:9" ht="30.75" customHeight="1" x14ac:dyDescent="0.25">
      <c r="B10" s="45" t="s">
        <v>46</v>
      </c>
      <c r="C10" s="30"/>
      <c r="D10" s="30"/>
      <c r="E10" s="30"/>
      <c r="F10" s="30"/>
      <c r="G10" s="31">
        <v>36059.79</v>
      </c>
      <c r="H10" s="130" t="s">
        <v>60</v>
      </c>
      <c r="I10" s="121"/>
    </row>
    <row r="11" spans="2:9" x14ac:dyDescent="0.25">
      <c r="B11" s="32">
        <f>Standard!B12</f>
        <v>45914</v>
      </c>
      <c r="C11" s="33">
        <f>18126.75+1080+1291.35</f>
        <v>20498.099999999999</v>
      </c>
      <c r="D11" s="33">
        <v>14370.38</v>
      </c>
      <c r="E11" s="33">
        <v>1291.3499999999999</v>
      </c>
      <c r="F11" s="33">
        <f>D11+E11</f>
        <v>15661.73</v>
      </c>
      <c r="G11" s="126">
        <f>C11-F11</f>
        <v>4836.369999999999</v>
      </c>
      <c r="H11" s="125" t="s">
        <v>62</v>
      </c>
      <c r="I11"/>
    </row>
    <row r="12" spans="2:9" x14ac:dyDescent="0.25">
      <c r="B12" s="32">
        <f>Standard!B13</f>
        <v>45944</v>
      </c>
      <c r="C12" s="33">
        <v>16876.8</v>
      </c>
      <c r="D12" s="33">
        <f>24157.42-2675.05</f>
        <v>21482.37</v>
      </c>
      <c r="E12" s="33">
        <v>2675.05</v>
      </c>
      <c r="F12" s="33">
        <f t="shared" ref="F12:F22" si="0">D12+E12</f>
        <v>24157.42</v>
      </c>
      <c r="G12" s="126">
        <f t="shared" ref="G12:G22" si="1">C12-F12</f>
        <v>-7280.619999999999</v>
      </c>
      <c r="H12" s="125"/>
      <c r="I12"/>
    </row>
    <row r="13" spans="2:9" x14ac:dyDescent="0.25">
      <c r="B13" s="32">
        <f>Standard!B14</f>
        <v>45975</v>
      </c>
      <c r="C13" s="33">
        <v>17871.349999999999</v>
      </c>
      <c r="D13" s="33">
        <v>9913.86</v>
      </c>
      <c r="E13" s="33">
        <v>1414</v>
      </c>
      <c r="F13" s="33">
        <f t="shared" si="0"/>
        <v>11327.86</v>
      </c>
      <c r="G13" s="126">
        <f t="shared" si="1"/>
        <v>6543.489999999998</v>
      </c>
      <c r="H13" s="125"/>
      <c r="I13"/>
    </row>
    <row r="14" spans="2:9" x14ac:dyDescent="0.25">
      <c r="B14" s="32">
        <f>Standard!B15</f>
        <v>46005</v>
      </c>
      <c r="C14" s="33">
        <v>18394.5</v>
      </c>
      <c r="D14" s="33">
        <f>21839.79-1403.9</f>
        <v>20435.89</v>
      </c>
      <c r="E14" s="33">
        <v>1403.9</v>
      </c>
      <c r="F14" s="33">
        <f t="shared" si="0"/>
        <v>21839.79</v>
      </c>
      <c r="G14" s="126">
        <f t="shared" si="1"/>
        <v>-3445.2900000000009</v>
      </c>
      <c r="H14" s="125"/>
      <c r="I14"/>
    </row>
    <row r="15" spans="2:9" x14ac:dyDescent="0.25">
      <c r="B15" s="32">
        <f>Standard!B16</f>
        <v>46036</v>
      </c>
      <c r="C15" s="33">
        <v>18433.7</v>
      </c>
      <c r="D15" s="33">
        <f>22414.13-1444.3</f>
        <v>20969.830000000002</v>
      </c>
      <c r="E15" s="33">
        <v>1444.3</v>
      </c>
      <c r="F15" s="33">
        <f t="shared" si="0"/>
        <v>22414.13</v>
      </c>
      <c r="G15" s="126">
        <f t="shared" si="1"/>
        <v>-3980.4300000000003</v>
      </c>
      <c r="H15" s="125"/>
      <c r="I15"/>
    </row>
    <row r="16" spans="2:9" x14ac:dyDescent="0.25">
      <c r="B16" s="32">
        <f>Standard!B17</f>
        <v>46067</v>
      </c>
      <c r="C16" s="33">
        <v>19034.150000000001</v>
      </c>
      <c r="D16" s="33">
        <f>12996.24-1398.85</f>
        <v>11597.39</v>
      </c>
      <c r="E16" s="33">
        <v>1398.85</v>
      </c>
      <c r="F16" s="33">
        <f t="shared" si="0"/>
        <v>12996.24</v>
      </c>
      <c r="G16" s="126">
        <f t="shared" si="1"/>
        <v>6037.9100000000017</v>
      </c>
      <c r="H16" s="125"/>
      <c r="I16"/>
    </row>
    <row r="17" spans="2:9" x14ac:dyDescent="0.25">
      <c r="B17" s="32">
        <f>Standard!B18</f>
        <v>46095</v>
      </c>
      <c r="C17" s="33">
        <v>0</v>
      </c>
      <c r="D17" s="33">
        <f>16697.19-1414</f>
        <v>15283.189999999999</v>
      </c>
      <c r="E17" s="33">
        <v>1414</v>
      </c>
      <c r="F17" s="33">
        <f t="shared" si="0"/>
        <v>16697.189999999999</v>
      </c>
      <c r="G17" s="126">
        <f t="shared" si="1"/>
        <v>-16697.189999999999</v>
      </c>
      <c r="H17" s="125"/>
      <c r="I17"/>
    </row>
    <row r="18" spans="2:9" x14ac:dyDescent="0.25">
      <c r="B18" s="32">
        <f>Standard!B19</f>
        <v>46126</v>
      </c>
      <c r="C18" s="33">
        <v>0</v>
      </c>
      <c r="D18" s="33">
        <f>16195.32-1388.75</f>
        <v>14806.57</v>
      </c>
      <c r="E18" s="33">
        <v>1388.75</v>
      </c>
      <c r="F18" s="33">
        <f t="shared" si="0"/>
        <v>16195.32</v>
      </c>
      <c r="G18" s="126">
        <f t="shared" si="1"/>
        <v>-16195.32</v>
      </c>
      <c r="H18" s="125"/>
      <c r="I18"/>
    </row>
    <row r="19" spans="2:9" x14ac:dyDescent="0.25">
      <c r="B19" s="32">
        <f>Standard!B20</f>
        <v>46156</v>
      </c>
      <c r="C19" s="33"/>
      <c r="D19" s="33"/>
      <c r="E19" s="33"/>
      <c r="F19" s="137">
        <f t="shared" si="0"/>
        <v>0</v>
      </c>
      <c r="G19" s="138">
        <f t="shared" si="1"/>
        <v>0</v>
      </c>
      <c r="H19" s="125"/>
      <c r="I19"/>
    </row>
    <row r="20" spans="2:9" x14ac:dyDescent="0.25">
      <c r="B20" s="32">
        <f>Standard!B21</f>
        <v>46187</v>
      </c>
      <c r="C20" s="33"/>
      <c r="D20" s="33"/>
      <c r="E20" s="33"/>
      <c r="F20" s="137">
        <f t="shared" si="0"/>
        <v>0</v>
      </c>
      <c r="G20" s="138">
        <f t="shared" si="1"/>
        <v>0</v>
      </c>
      <c r="H20" s="125"/>
      <c r="I20"/>
    </row>
    <row r="21" spans="2:9" x14ac:dyDescent="0.25">
      <c r="B21" s="32">
        <f>Standard!B22</f>
        <v>46217</v>
      </c>
      <c r="C21" s="33"/>
      <c r="D21" s="33"/>
      <c r="E21" s="33"/>
      <c r="F21" s="137">
        <f t="shared" si="0"/>
        <v>0</v>
      </c>
      <c r="G21" s="138">
        <f t="shared" si="1"/>
        <v>0</v>
      </c>
      <c r="H21" s="125"/>
      <c r="I21"/>
    </row>
    <row r="22" spans="2:9" x14ac:dyDescent="0.25">
      <c r="B22" s="32">
        <f>Standard!B23</f>
        <v>46248</v>
      </c>
      <c r="C22" s="33"/>
      <c r="D22" s="33"/>
      <c r="E22" s="33"/>
      <c r="F22" s="137">
        <f t="shared" si="0"/>
        <v>0</v>
      </c>
      <c r="G22" s="138">
        <f t="shared" si="1"/>
        <v>0</v>
      </c>
      <c r="H22" s="125"/>
      <c r="I22"/>
    </row>
    <row r="23" spans="2:9" ht="15.75" thickBot="1" x14ac:dyDescent="0.3">
      <c r="B23" s="34"/>
      <c r="C23" s="35"/>
      <c r="D23" s="35"/>
      <c r="E23" s="35"/>
      <c r="F23" s="35"/>
      <c r="G23" s="36"/>
      <c r="H23" s="131"/>
      <c r="I23"/>
    </row>
    <row r="24" spans="2:9" ht="15.75" thickBot="1" x14ac:dyDescent="0.3">
      <c r="B24" s="37" t="s">
        <v>15</v>
      </c>
      <c r="C24" s="38">
        <f>SUM(C11:C22)</f>
        <v>111108.6</v>
      </c>
      <c r="D24" s="38">
        <f>SUM(D11:D22)</f>
        <v>128859.48000000001</v>
      </c>
      <c r="E24" s="38">
        <f>SUM(E11:E22)</f>
        <v>12430.199999999999</v>
      </c>
      <c r="F24" s="38">
        <f>SUM(F11:F22)</f>
        <v>141289.68</v>
      </c>
      <c r="G24" s="38">
        <f>SUM(G10:G22)</f>
        <v>5878.71000000001</v>
      </c>
      <c r="H24" s="132"/>
      <c r="I24"/>
    </row>
    <row r="25" spans="2:9" x14ac:dyDescent="0.25">
      <c r="B25" s="20"/>
      <c r="C25" s="39"/>
      <c r="D25" s="39"/>
      <c r="E25" s="39"/>
      <c r="F25" s="39"/>
      <c r="G25" s="39"/>
      <c r="H25" s="133"/>
      <c r="I25" s="20"/>
    </row>
    <row r="26" spans="2:9" ht="15.75" thickBot="1" x14ac:dyDescent="0.3">
      <c r="B26" s="207"/>
      <c r="C26" s="207"/>
      <c r="D26" s="207"/>
      <c r="E26" s="207"/>
      <c r="F26" s="207"/>
      <c r="G26" s="207"/>
      <c r="H26" s="207"/>
    </row>
    <row r="27" spans="2:9" x14ac:dyDescent="0.25">
      <c r="B27" s="203" t="s">
        <v>42</v>
      </c>
      <c r="C27" s="204"/>
      <c r="D27" s="204"/>
      <c r="E27" s="204"/>
      <c r="F27" s="204"/>
      <c r="G27" s="204"/>
      <c r="H27" s="205"/>
      <c r="I27"/>
    </row>
    <row r="28" spans="2:9" x14ac:dyDescent="0.25">
      <c r="B28" s="119" t="s">
        <v>47</v>
      </c>
      <c r="C28" s="120"/>
      <c r="D28" s="120"/>
      <c r="E28" s="120"/>
      <c r="F28" s="120"/>
      <c r="G28" s="120"/>
      <c r="H28" s="134"/>
      <c r="I28"/>
    </row>
    <row r="29" spans="2:9" ht="18.75" customHeight="1" thickBot="1" x14ac:dyDescent="0.3">
      <c r="B29" s="200" t="s">
        <v>48</v>
      </c>
      <c r="C29" s="201"/>
      <c r="D29" s="201"/>
      <c r="E29" s="201"/>
      <c r="F29" s="201"/>
      <c r="G29" s="201"/>
      <c r="H29" s="202"/>
      <c r="I29"/>
    </row>
    <row r="30" spans="2:9" x14ac:dyDescent="0.25">
      <c r="B30" s="40"/>
      <c r="C30" s="41"/>
      <c r="D30" s="41"/>
      <c r="E30" s="41"/>
      <c r="F30" s="41"/>
      <c r="G30" s="41"/>
      <c r="H30" s="135"/>
      <c r="I30" s="40"/>
    </row>
    <row r="31" spans="2:9" x14ac:dyDescent="0.25">
      <c r="B31" s="40"/>
      <c r="C31" s="41"/>
      <c r="D31" s="41"/>
      <c r="E31" s="41"/>
      <c r="F31" s="41"/>
      <c r="G31" s="41"/>
      <c r="H31" s="135"/>
      <c r="I31" s="40"/>
    </row>
    <row r="32" spans="2:9" x14ac:dyDescent="0.25">
      <c r="B32" s="42"/>
      <c r="C32" s="43"/>
      <c r="D32" s="43"/>
      <c r="E32" s="43"/>
      <c r="F32" s="43"/>
      <c r="G32" s="43"/>
      <c r="I32" s="42"/>
    </row>
    <row r="33" spans="2:9" x14ac:dyDescent="0.25">
      <c r="B33" s="42"/>
      <c r="C33" s="43"/>
      <c r="D33" s="43"/>
      <c r="E33" s="43"/>
      <c r="F33" s="43"/>
      <c r="G33" s="43"/>
      <c r="I33" s="42"/>
    </row>
    <row r="34" spans="2:9" x14ac:dyDescent="0.25">
      <c r="B34" s="42"/>
      <c r="C34" s="43"/>
      <c r="D34" s="43"/>
      <c r="E34" s="43"/>
      <c r="F34" s="43"/>
      <c r="G34" s="43"/>
      <c r="I34" s="42"/>
    </row>
  </sheetData>
  <mergeCells count="11">
    <mergeCell ref="B29:H29"/>
    <mergeCell ref="B27:H27"/>
    <mergeCell ref="B2:I2"/>
    <mergeCell ref="E4:F4"/>
    <mergeCell ref="B26:H26"/>
    <mergeCell ref="B1:I1"/>
    <mergeCell ref="D8:F8"/>
    <mergeCell ref="B8:B9"/>
    <mergeCell ref="C8:C9"/>
    <mergeCell ref="G8:G9"/>
    <mergeCell ref="H8:H9"/>
  </mergeCells>
  <pageMargins left="0.7" right="0.7" top="0.75" bottom="0.75" header="0.3" footer="0.3"/>
  <pageSetup scale="81"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Standard</vt:lpstr>
      <vt:lpstr>Plan Acct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2026-07-01T16:43:25Z</cp:lastPrinted>
  <dcterms:created xsi:type="dcterms:W3CDTF">2010-01-16T14:52:12Z</dcterms:created>
  <dcterms:modified xsi:type="dcterms:W3CDTF">2026-07-01T16:43:26Z</dcterms:modified>
</cp:coreProperties>
</file>