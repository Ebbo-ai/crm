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5312D658-91AA-4BAD-8154-C9018BA497F7}" xr6:coauthVersionLast="47" xr6:coauthVersionMax="47" xr10:uidLastSave="{00000000-0000-0000-0000-000000000000}"/>
  <bookViews>
    <workbookView xWindow="-105" yWindow="0" windowWidth="26010" windowHeight="20985" xr2:uid="{00000000-000D-0000-FFFF-FFFF00000000}"/>
  </bookViews>
  <sheets>
    <sheet name="Dental"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3" l="1"/>
  <c r="N13" i="3"/>
  <c r="N14" i="3"/>
  <c r="N15" i="3"/>
  <c r="N12" i="3"/>
  <c r="M13" i="3"/>
  <c r="M14" i="3"/>
  <c r="M15" i="3"/>
  <c r="M18" i="3"/>
  <c r="M19" i="3"/>
  <c r="M20" i="3"/>
  <c r="M21" i="3"/>
  <c r="M22" i="3"/>
  <c r="M23" i="3"/>
  <c r="M12" i="3"/>
  <c r="H17" i="3"/>
  <c r="H18" i="3"/>
  <c r="H19" i="3"/>
  <c r="H20" i="3"/>
  <c r="H21" i="3"/>
  <c r="H22" i="3"/>
  <c r="H23" i="3"/>
  <c r="G23" i="3"/>
  <c r="G22" i="3" l="1"/>
  <c r="E25" i="3" l="1"/>
  <c r="G32" i="3" l="1"/>
  <c r="G31" i="3"/>
  <c r="G30" i="3"/>
  <c r="B30" i="3"/>
  <c r="G29" i="3"/>
  <c r="L25" i="3"/>
  <c r="K25" i="3"/>
  <c r="F25" i="3"/>
  <c r="D25" i="3"/>
  <c r="C25" i="3"/>
  <c r="I23" i="3"/>
  <c r="I22" i="3"/>
  <c r="I21" i="3"/>
  <c r="G21" i="3"/>
  <c r="I20" i="3"/>
  <c r="G20" i="3"/>
  <c r="I19" i="3"/>
  <c r="G19" i="3"/>
  <c r="I18" i="3"/>
  <c r="G18" i="3"/>
  <c r="J25" i="3"/>
  <c r="I17" i="3"/>
  <c r="M17" i="3" s="1"/>
  <c r="G17" i="3"/>
  <c r="I16" i="3"/>
  <c r="I15" i="3"/>
  <c r="H15" i="3"/>
  <c r="G15" i="3"/>
  <c r="I14" i="3"/>
  <c r="H14" i="3"/>
  <c r="G14" i="3"/>
  <c r="I13" i="3"/>
  <c r="H13" i="3"/>
  <c r="G13" i="3"/>
  <c r="I12" i="3"/>
  <c r="G12" i="3"/>
  <c r="H12" i="3"/>
  <c r="H16" i="3"/>
  <c r="G16" i="3"/>
  <c r="N16" i="3" l="1"/>
  <c r="M16" i="3"/>
  <c r="N28" i="3"/>
  <c r="G25" i="3"/>
  <c r="N30" i="3" s="1"/>
  <c r="N31" i="3"/>
  <c r="H25" i="3"/>
  <c r="I25" i="3"/>
  <c r="N25" i="3" s="1"/>
  <c r="N29" i="3"/>
  <c r="M25" i="3" l="1"/>
  <c r="N32" i="3"/>
</calcChain>
</file>

<file path=xl/sharedStrings.xml><?xml version="1.0" encoding="utf-8"?>
<sst xmlns="http://schemas.openxmlformats.org/spreadsheetml/2006/main" count="59" uniqueCount="52">
  <si>
    <t>Plan Year:</t>
  </si>
  <si>
    <t>through</t>
  </si>
  <si>
    <t>Group ID:</t>
  </si>
  <si>
    <t>Plan Name:</t>
  </si>
  <si>
    <t>Coverage:</t>
  </si>
  <si>
    <t>Plan ID:</t>
  </si>
  <si>
    <t>ENROLLMENT</t>
  </si>
  <si>
    <t>ADMIN</t>
  </si>
  <si>
    <t>CLAIMS</t>
  </si>
  <si>
    <t>PROFIT OR LOSS</t>
  </si>
  <si>
    <t>Surplus/</t>
  </si>
  <si>
    <t>Loss</t>
  </si>
  <si>
    <t>Mon, Yr</t>
  </si>
  <si>
    <t>EE</t>
  </si>
  <si>
    <t>EC</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</si>
  <si>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</si>
  <si>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</si>
  <si>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</si>
  <si>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</si>
  <si>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</si>
  <si>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</si>
  <si>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</si>
  <si>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</si>
  <si>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</si>
  <si>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</si>
  <si>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</si>
  <si>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</si>
  <si>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</si>
  <si>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</si>
  <si>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</si>
  <si>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</si>
  <si>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</si>
  <si>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</si>
  <si>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</si>
  <si>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</si>
  <si>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</si>
  <si>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</si>
  <si>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</si>
  <si>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ES</t>
  </si>
  <si>
    <t>Dental</t>
  </si>
  <si>
    <t>Prior Year Data</t>
  </si>
  <si>
    <t>Surplus (Deficit)</t>
  </si>
  <si>
    <t>Monthly Performance Report -Budgeted vs Actual Claims Paid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</si>
  <si>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</si>
  <si>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Ortho for adult &amp; children in plan above</t>
  </si>
  <si>
    <t>TPG Noramco/Noramco Transport</t>
  </si>
  <si>
    <t>S469</t>
  </si>
  <si>
    <t>S469DEN</t>
  </si>
  <si>
    <t>100% of the first $125</t>
  </si>
  <si>
    <t>50% of the next $3,750</t>
  </si>
  <si>
    <t>Annual Maximum Amount $2,000</t>
  </si>
  <si>
    <t xml:space="preserve"> Assignment of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</si>
</sst>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b/>
      <sz val="12"/>
      <color theme="0"/>
      <name val="Arial"/>
      <family val="2"/>
    </font>
    <font>
      <sz val="12"/>
      <color rgb="FF00B050"/>
      <name val="Arial"/>
      <family val="2"/>
    </font>
    <font>
      <b/>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50">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5" fontId="8" fillId="0" borderId="0" xfId="1" applyNumberFormat="1" applyFont="1"/>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5"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44" fontId="12" fillId="0" borderId="6" xfId="2" applyFont="1" applyBorder="1"/>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6"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1" xfId="0" applyFont="1" applyBorder="1" applyAlignment="1">
      <alignment horizontal="right"/>
    </xf>
    <xf numFmtId="165" fontId="11" fillId="0" borderId="17" xfId="1" applyNumberFormat="1" applyFont="1" applyBorder="1" applyAlignment="1">
      <alignment horizontal="right"/>
    </xf>
    <xf numFmtId="44" fontId="11" fillId="0" borderId="11" xfId="2" applyFont="1" applyBorder="1"/>
    <xf numFmtId="44" fontId="11" fillId="0" borderId="17" xfId="2" applyFont="1" applyBorder="1"/>
    <xf numFmtId="44" fontId="11" fillId="0" borderId="17" xfId="2" applyFont="1" applyBorder="1" applyAlignment="1">
      <alignment horizontal="right"/>
    </xf>
    <xf numFmtId="165" fontId="11" fillId="0" borderId="12" xfId="1" applyNumberFormat="1" applyFont="1" applyBorder="1" applyAlignment="1">
      <alignment horizontal="center" wrapText="1"/>
    </xf>
    <xf numFmtId="10" fontId="11" fillId="0" borderId="12" xfId="0" applyNumberFormat="1" applyFont="1" applyBorder="1" applyAlignment="1">
      <alignment horizontal="right"/>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3" xfId="0" applyFont="1" applyBorder="1"/>
    <xf numFmtId="0" fontId="12" fillId="0" borderId="14" xfId="0" applyFont="1" applyBorder="1" applyAlignment="1">
      <alignment horizontal="center"/>
    </xf>
    <xf numFmtId="0" fontId="12" fillId="0" borderId="14" xfId="0" applyFont="1" applyBorder="1" applyAlignment="1">
      <alignment horizontal="right"/>
    </xf>
    <xf numFmtId="167" fontId="12" fillId="0" borderId="14" xfId="0" applyNumberFormat="1" applyFont="1" applyBorder="1" applyAlignment="1">
      <alignment horizontal="center"/>
    </xf>
    <xf numFmtId="167" fontId="12" fillId="0" borderId="0" xfId="0" applyNumberFormat="1" applyFont="1" applyAlignment="1">
      <alignment horizontal="center"/>
    </xf>
    <xf numFmtId="165" fontId="12" fillId="0" borderId="14"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2" fillId="0" borderId="16" xfId="3" applyNumberFormat="1" applyFont="1" applyBorder="1" applyAlignment="1">
      <alignment horizontal="right"/>
    </xf>
    <xf numFmtId="44" fontId="12" fillId="0" borderId="14" xfId="2" applyFont="1" applyBorder="1"/>
    <xf numFmtId="43" fontId="12" fillId="0" borderId="14" xfId="1" applyFont="1" applyBorder="1"/>
    <xf numFmtId="10" fontId="12" fillId="0" borderId="14" xfId="0" applyNumberFormat="1" applyFont="1" applyBorder="1"/>
    <xf numFmtId="165" fontId="14" fillId="0" borderId="17" xfId="1" applyNumberFormat="1" applyFont="1" applyBorder="1" applyAlignment="1">
      <alignment horizontal="right"/>
    </xf>
    <xf numFmtId="0" fontId="15" fillId="0" borderId="0" xfId="0" applyFont="1" applyAlignment="1">
      <alignment horizontal="center"/>
    </xf>
    <xf numFmtId="0" fontId="15" fillId="0" borderId="0" xfId="0" applyFont="1"/>
    <xf numFmtId="0" fontId="15" fillId="0" borderId="0" xfId="0" applyFont="1" applyAlignment="1">
      <alignment horizontal="center" wrapText="1"/>
    </xf>
    <xf numFmtId="44" fontId="15" fillId="0" borderId="14" xfId="2" applyFont="1" applyBorder="1"/>
    <xf numFmtId="43" fontId="15" fillId="0" borderId="14" xfId="1" applyFont="1" applyBorder="1"/>
    <xf numFmtId="10" fontId="15" fillId="0" borderId="14" xfId="0" applyNumberFormat="1" applyFont="1" applyBorder="1"/>
    <xf numFmtId="8" fontId="15" fillId="0" borderId="14" xfId="2" applyNumberFormat="1" applyFont="1" applyBorder="1"/>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3" xfId="0" applyNumberFormat="1" applyFont="1" applyBorder="1" applyAlignment="1">
      <alignment horizontal="center"/>
    </xf>
    <xf numFmtId="0" fontId="12" fillId="0" borderId="13"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2" fontId="11" fillId="0" borderId="11" xfId="0" applyNumberFormat="1" applyFont="1" applyBorder="1" applyAlignment="1">
      <alignment horizontal="center" vertical="center"/>
    </xf>
    <xf numFmtId="2" fontId="11" fillId="0" borderId="17"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13"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13"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5" fillId="0" borderId="13"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1" fillId="0" borderId="15" xfId="0" applyFont="1" applyBorder="1" applyAlignment="1">
      <alignment horizontal="center"/>
    </xf>
    <xf numFmtId="0" fontId="16" fillId="0" borderId="13"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6" fillId="0" borderId="13"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6" xfId="0" applyNumberFormat="1" applyFont="1" applyBorder="1" applyAlignment="1">
      <alignment horizontal="left"/>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8197" name="Picture 1">
          <a:extLst>
            <a:ext uri="{FF2B5EF4-FFF2-40B4-BE49-F238E27FC236}">
              <a16:creationId xmlns:a16="http://schemas.microsoft.com/office/drawing/2014/main" id="{00000000-0008-0000-0000-000005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1"/>
  <sheetViews>
    <sheetView tabSelected="1" workbookViewId="0">
      <selection activeCell="N17" sqref="N17"/>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00" t="s">
        <v>45</v>
      </c>
      <c r="C1" s="100"/>
      <c r="D1" s="100"/>
      <c r="E1" s="100"/>
      <c r="F1" s="100"/>
      <c r="G1" s="100"/>
      <c r="H1" s="100"/>
      <c r="I1" s="100"/>
      <c r="J1" s="100"/>
      <c r="K1" s="100"/>
      <c r="L1" s="100"/>
      <c r="M1" s="100"/>
      <c r="N1" s="100"/>
    </row>
    <row r="2" spans="2:26" s="1" customFormat="1" ht="20.25" customHeight="1" x14ac:dyDescent="0.25">
      <c r="B2" s="101" t="s">
        <v>42</v>
      </c>
      <c r="C2" s="101"/>
      <c r="D2" s="101"/>
      <c r="E2" s="101"/>
      <c r="F2" s="101"/>
      <c r="G2" s="101"/>
      <c r="H2" s="101"/>
      <c r="I2" s="101"/>
      <c r="J2" s="101"/>
      <c r="K2" s="101"/>
      <c r="L2" s="101"/>
      <c r="M2" s="101"/>
      <c r="N2" s="101"/>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02" t="s">
        <v>2</v>
      </c>
      <c r="C5" s="102"/>
      <c r="D5" s="103" t="s">
        <v>46</v>
      </c>
      <c r="E5" s="103"/>
      <c r="F5" s="103"/>
      <c r="G5" s="103"/>
      <c r="H5" s="14"/>
      <c r="I5" s="15"/>
      <c r="J5" s="15"/>
      <c r="K5" s="102" t="s">
        <v>3</v>
      </c>
      <c r="L5" s="102"/>
      <c r="M5" s="103" t="s">
        <v>39</v>
      </c>
      <c r="N5" s="103"/>
    </row>
    <row r="6" spans="2:26" s="1" customFormat="1" ht="20.25" customHeight="1" x14ac:dyDescent="0.25">
      <c r="B6" s="102" t="s">
        <v>4</v>
      </c>
      <c r="C6" s="102"/>
      <c r="D6" s="103" t="s">
        <v>39</v>
      </c>
      <c r="E6" s="103"/>
      <c r="F6" s="103"/>
      <c r="G6" s="103"/>
      <c r="H6" s="14"/>
      <c r="I6" s="11"/>
      <c r="J6" s="11"/>
      <c r="K6" s="102" t="s">
        <v>5</v>
      </c>
      <c r="L6" s="102"/>
      <c r="M6" s="103" t="s">
        <v>47</v>
      </c>
      <c r="N6" s="103"/>
    </row>
    <row r="7" spans="2:26" ht="21" customHeight="1" thickBot="1" x14ac:dyDescent="0.25">
      <c r="C7" s="17"/>
      <c r="D7" s="17"/>
      <c r="E7" s="17"/>
    </row>
    <row r="8" spans="2:26" s="22" customFormat="1" ht="15.75" customHeight="1" thickBot="1" x14ac:dyDescent="0.25">
      <c r="B8" s="110" t="s">
        <v>6</v>
      </c>
      <c r="C8" s="111"/>
      <c r="D8" s="111"/>
      <c r="E8" s="111"/>
      <c r="F8" s="111"/>
      <c r="G8" s="111"/>
      <c r="H8" s="21" t="s">
        <v>7</v>
      </c>
      <c r="I8" s="112" t="s">
        <v>8</v>
      </c>
      <c r="J8" s="112"/>
      <c r="K8" s="112"/>
      <c r="L8" s="113"/>
      <c r="M8" s="114" t="s">
        <v>9</v>
      </c>
      <c r="N8" s="113"/>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t="s">
        <v>14</v>
      </c>
      <c r="F10" s="32" t="s">
        <v>15</v>
      </c>
      <c r="G10" s="32" t="s">
        <v>16</v>
      </c>
      <c r="H10" s="34" t="s">
        <v>17</v>
      </c>
      <c r="I10" s="35" t="s">
        <v>18</v>
      </c>
      <c r="J10" s="35" t="s">
        <v>19</v>
      </c>
      <c r="K10" s="35" t="s">
        <v>20</v>
      </c>
      <c r="L10" s="36" t="s">
        <v>21</v>
      </c>
      <c r="M10" s="37" t="s">
        <v>22</v>
      </c>
      <c r="N10" s="38" t="s">
        <v>23</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46023</v>
      </c>
      <c r="C12" s="51">
        <v>5</v>
      </c>
      <c r="D12" s="51">
        <v>3</v>
      </c>
      <c r="E12" s="51"/>
      <c r="F12" s="51">
        <v>2</v>
      </c>
      <c r="G12" s="52">
        <f>SUM(C12:F12)</f>
        <v>10</v>
      </c>
      <c r="H12" s="53">
        <f>(C12*$E$29)+(D12*$E$30)+(E12*$E$31)+(F12*$E$32)</f>
        <v>110.5</v>
      </c>
      <c r="I12" s="54">
        <f>(C12*$C$29)+(D12*$C$30)+(E12*$C$31)+(F12*$C$32)</f>
        <v>429.5</v>
      </c>
      <c r="J12" s="55">
        <v>0</v>
      </c>
      <c r="K12" s="55">
        <v>0</v>
      </c>
      <c r="L12" s="52">
        <v>0</v>
      </c>
      <c r="M12" s="54">
        <f>I12-K12</f>
        <v>429.5</v>
      </c>
      <c r="N12" s="88">
        <f>K12/I12</f>
        <v>0</v>
      </c>
      <c r="Q12" s="49"/>
      <c r="R12" s="49"/>
    </row>
    <row r="13" spans="2:26" s="22" customFormat="1" ht="15.75" customHeight="1" x14ac:dyDescent="0.2">
      <c r="B13" s="50">
        <v>46054</v>
      </c>
      <c r="C13" s="51">
        <v>5</v>
      </c>
      <c r="D13" s="51">
        <v>3</v>
      </c>
      <c r="E13" s="51"/>
      <c r="F13" s="51">
        <v>2</v>
      </c>
      <c r="G13" s="52">
        <f t="shared" ref="G13:G23" si="0">SUM(C13:F13)</f>
        <v>10</v>
      </c>
      <c r="H13" s="53">
        <f t="shared" ref="H13:H23" si="1">(C13*$E$29)+(D13*$E$30)+(E13*$E$31)+(F13*$E$32)</f>
        <v>110.5</v>
      </c>
      <c r="I13" s="54">
        <f t="shared" ref="I13:I23" si="2">(C13*$C$29)+(D13*$C$30)+(E13*$C$31)+(F13*$C$32)</f>
        <v>429.5</v>
      </c>
      <c r="J13" s="55">
        <v>0</v>
      </c>
      <c r="K13" s="55">
        <v>0</v>
      </c>
      <c r="L13" s="52">
        <v>0</v>
      </c>
      <c r="M13" s="54">
        <f t="shared" ref="M13:M23" si="3">I13-K13</f>
        <v>429.5</v>
      </c>
      <c r="N13" s="88">
        <f t="shared" ref="N13:N17" si="4">K13/I13</f>
        <v>0</v>
      </c>
      <c r="Q13" s="56"/>
      <c r="R13" s="49"/>
    </row>
    <row r="14" spans="2:26" s="22" customFormat="1" ht="15.75" customHeight="1" x14ac:dyDescent="0.2">
      <c r="B14" s="50">
        <v>46082</v>
      </c>
      <c r="C14" s="51">
        <v>5</v>
      </c>
      <c r="D14" s="51">
        <v>3</v>
      </c>
      <c r="E14" s="51"/>
      <c r="F14" s="51">
        <v>2</v>
      </c>
      <c r="G14" s="52">
        <f t="shared" si="0"/>
        <v>10</v>
      </c>
      <c r="H14" s="53">
        <f t="shared" si="1"/>
        <v>110.5</v>
      </c>
      <c r="I14" s="54">
        <f t="shared" si="2"/>
        <v>429.5</v>
      </c>
      <c r="J14" s="55">
        <v>0</v>
      </c>
      <c r="K14" s="55">
        <v>0</v>
      </c>
      <c r="L14" s="52">
        <v>0</v>
      </c>
      <c r="M14" s="54">
        <f t="shared" si="3"/>
        <v>429.5</v>
      </c>
      <c r="N14" s="88">
        <f t="shared" si="4"/>
        <v>0</v>
      </c>
      <c r="Q14" s="56"/>
      <c r="R14" s="49"/>
    </row>
    <row r="15" spans="2:26" s="22" customFormat="1" ht="15.75" customHeight="1" x14ac:dyDescent="0.2">
      <c r="B15" s="50">
        <v>46113</v>
      </c>
      <c r="C15" s="51">
        <v>5</v>
      </c>
      <c r="D15" s="51">
        <v>3</v>
      </c>
      <c r="E15" s="51"/>
      <c r="F15" s="51">
        <v>2</v>
      </c>
      <c r="G15" s="52">
        <f t="shared" si="0"/>
        <v>10</v>
      </c>
      <c r="H15" s="53">
        <f t="shared" si="1"/>
        <v>110.5</v>
      </c>
      <c r="I15" s="54">
        <f t="shared" si="2"/>
        <v>429.5</v>
      </c>
      <c r="J15" s="55">
        <v>666</v>
      </c>
      <c r="K15" s="55">
        <v>458</v>
      </c>
      <c r="L15" s="52">
        <v>3</v>
      </c>
      <c r="M15" s="54">
        <f t="shared" si="3"/>
        <v>-28.5</v>
      </c>
      <c r="N15" s="88">
        <f t="shared" si="4"/>
        <v>1.0663562281722934</v>
      </c>
      <c r="Q15" s="56"/>
      <c r="R15" s="49"/>
    </row>
    <row r="16" spans="2:26" s="22" customFormat="1" ht="15.75" customHeight="1" x14ac:dyDescent="0.2">
      <c r="B16" s="50">
        <v>46143</v>
      </c>
      <c r="C16" s="51">
        <v>5</v>
      </c>
      <c r="D16" s="51">
        <v>3</v>
      </c>
      <c r="E16" s="51"/>
      <c r="F16" s="51">
        <v>2</v>
      </c>
      <c r="G16" s="52">
        <f t="shared" si="0"/>
        <v>10</v>
      </c>
      <c r="H16" s="53">
        <f t="shared" si="1"/>
        <v>110.5</v>
      </c>
      <c r="I16" s="54">
        <f t="shared" si="2"/>
        <v>429.5</v>
      </c>
      <c r="J16" s="55">
        <v>140</v>
      </c>
      <c r="K16" s="55">
        <v>132.5</v>
      </c>
      <c r="L16" s="52">
        <v>1</v>
      </c>
      <c r="M16" s="54">
        <f t="shared" si="3"/>
        <v>297</v>
      </c>
      <c r="N16" s="88">
        <f t="shared" si="4"/>
        <v>0.30849825378346912</v>
      </c>
      <c r="Q16" s="56"/>
      <c r="R16" s="49"/>
    </row>
    <row r="17" spans="2:18" s="22" customFormat="1" ht="15.75" customHeight="1" x14ac:dyDescent="0.2">
      <c r="B17" s="50">
        <v>46174</v>
      </c>
      <c r="C17" s="51">
        <v>5</v>
      </c>
      <c r="D17" s="51">
        <v>3</v>
      </c>
      <c r="E17" s="51"/>
      <c r="F17" s="51">
        <v>2</v>
      </c>
      <c r="G17" s="52">
        <f t="shared" si="0"/>
        <v>10</v>
      </c>
      <c r="H17" s="53">
        <f t="shared" si="1"/>
        <v>110.5</v>
      </c>
      <c r="I17" s="54">
        <f t="shared" si="2"/>
        <v>429.5</v>
      </c>
      <c r="J17" s="55">
        <v>1042</v>
      </c>
      <c r="K17" s="55">
        <v>646</v>
      </c>
      <c r="L17" s="52">
        <v>4</v>
      </c>
      <c r="M17" s="54">
        <f t="shared" si="3"/>
        <v>-216.5</v>
      </c>
      <c r="N17" s="88">
        <f t="shared" si="4"/>
        <v>1.5040745052386495</v>
      </c>
      <c r="Q17" s="56"/>
      <c r="R17" s="49"/>
    </row>
    <row r="18" spans="2:18" s="22" customFormat="1" ht="15.75" customHeight="1" x14ac:dyDescent="0.2">
      <c r="B18" s="50">
        <v>46204</v>
      </c>
      <c r="C18" s="51"/>
      <c r="D18" s="51"/>
      <c r="E18" s="51"/>
      <c r="F18" s="51"/>
      <c r="G18" s="52">
        <f t="shared" si="0"/>
        <v>0</v>
      </c>
      <c r="H18" s="53">
        <f t="shared" si="1"/>
        <v>0</v>
      </c>
      <c r="I18" s="54">
        <f t="shared" si="2"/>
        <v>0</v>
      </c>
      <c r="J18" s="55"/>
      <c r="K18" s="55"/>
      <c r="L18" s="52"/>
      <c r="M18" s="54">
        <f t="shared" si="3"/>
        <v>0</v>
      </c>
      <c r="N18" s="88"/>
      <c r="Q18" s="56"/>
      <c r="R18" s="49"/>
    </row>
    <row r="19" spans="2:18" s="22" customFormat="1" ht="15.75" customHeight="1" x14ac:dyDescent="0.2">
      <c r="B19" s="50">
        <v>46235</v>
      </c>
      <c r="C19" s="51"/>
      <c r="D19" s="51"/>
      <c r="E19" s="51"/>
      <c r="F19" s="51"/>
      <c r="G19" s="52">
        <f t="shared" si="0"/>
        <v>0</v>
      </c>
      <c r="H19" s="53">
        <f t="shared" si="1"/>
        <v>0</v>
      </c>
      <c r="I19" s="54">
        <f t="shared" si="2"/>
        <v>0</v>
      </c>
      <c r="J19" s="55"/>
      <c r="K19" s="55"/>
      <c r="L19" s="52"/>
      <c r="M19" s="54">
        <f t="shared" si="3"/>
        <v>0</v>
      </c>
      <c r="N19" s="88"/>
      <c r="Q19" s="56"/>
      <c r="R19" s="49"/>
    </row>
    <row r="20" spans="2:18" s="22" customFormat="1" ht="15.75" customHeight="1" x14ac:dyDescent="0.2">
      <c r="B20" s="50">
        <v>46266</v>
      </c>
      <c r="C20" s="51"/>
      <c r="D20" s="51"/>
      <c r="E20" s="51"/>
      <c r="F20" s="51"/>
      <c r="G20" s="52">
        <f t="shared" si="0"/>
        <v>0</v>
      </c>
      <c r="H20" s="53">
        <f t="shared" si="1"/>
        <v>0</v>
      </c>
      <c r="I20" s="54">
        <f t="shared" si="2"/>
        <v>0</v>
      </c>
      <c r="J20" s="55"/>
      <c r="K20" s="55"/>
      <c r="L20" s="52"/>
      <c r="M20" s="54">
        <f t="shared" si="3"/>
        <v>0</v>
      </c>
      <c r="N20" s="88"/>
      <c r="Q20" s="56"/>
      <c r="R20" s="49"/>
    </row>
    <row r="21" spans="2:18" s="22" customFormat="1" ht="15.75" customHeight="1" x14ac:dyDescent="0.2">
      <c r="B21" s="50">
        <v>46296</v>
      </c>
      <c r="C21" s="51"/>
      <c r="D21" s="51"/>
      <c r="E21" s="51"/>
      <c r="F21" s="51"/>
      <c r="G21" s="52">
        <f t="shared" si="0"/>
        <v>0</v>
      </c>
      <c r="H21" s="53">
        <f t="shared" si="1"/>
        <v>0</v>
      </c>
      <c r="I21" s="54">
        <f t="shared" si="2"/>
        <v>0</v>
      </c>
      <c r="J21" s="55"/>
      <c r="K21" s="55"/>
      <c r="L21" s="52"/>
      <c r="M21" s="54">
        <f t="shared" si="3"/>
        <v>0</v>
      </c>
      <c r="N21" s="88"/>
      <c r="Q21" s="56"/>
      <c r="R21" s="49"/>
    </row>
    <row r="22" spans="2:18" s="22" customFormat="1" ht="15.75" customHeight="1" x14ac:dyDescent="0.2">
      <c r="B22" s="50">
        <v>46327</v>
      </c>
      <c r="C22" s="51"/>
      <c r="D22" s="51"/>
      <c r="E22" s="51"/>
      <c r="F22" s="51"/>
      <c r="G22" s="52">
        <f t="shared" si="0"/>
        <v>0</v>
      </c>
      <c r="H22" s="53">
        <f t="shared" si="1"/>
        <v>0</v>
      </c>
      <c r="I22" s="54">
        <f t="shared" si="2"/>
        <v>0</v>
      </c>
      <c r="J22" s="55"/>
      <c r="K22" s="55"/>
      <c r="L22" s="52"/>
      <c r="M22" s="54">
        <f t="shared" si="3"/>
        <v>0</v>
      </c>
      <c r="N22" s="88"/>
      <c r="Q22" s="56"/>
      <c r="R22" s="49"/>
    </row>
    <row r="23" spans="2:18" s="22" customFormat="1" ht="15.75" customHeight="1" x14ac:dyDescent="0.2">
      <c r="B23" s="50">
        <v>46357</v>
      </c>
      <c r="C23" s="51"/>
      <c r="D23" s="51"/>
      <c r="E23" s="51"/>
      <c r="F23" s="51"/>
      <c r="G23" s="52">
        <f t="shared" si="0"/>
        <v>0</v>
      </c>
      <c r="H23" s="53">
        <f t="shared" si="1"/>
        <v>0</v>
      </c>
      <c r="I23" s="54">
        <f t="shared" si="2"/>
        <v>0</v>
      </c>
      <c r="J23" s="55"/>
      <c r="K23" s="55"/>
      <c r="L23" s="52"/>
      <c r="M23" s="54">
        <f t="shared" si="3"/>
        <v>0</v>
      </c>
      <c r="N23" s="88"/>
      <c r="Q23" s="56"/>
      <c r="R23" s="49"/>
    </row>
    <row r="24" spans="2:18" s="22" customFormat="1" ht="15.75" customHeight="1" thickBot="1" x14ac:dyDescent="0.25">
      <c r="B24" s="57"/>
      <c r="C24" s="58"/>
      <c r="D24" s="58"/>
      <c r="E24" s="58"/>
      <c r="F24" s="58"/>
      <c r="G24" s="59"/>
      <c r="H24" s="60"/>
      <c r="I24" s="61"/>
      <c r="J24" s="62"/>
      <c r="K24" s="63"/>
      <c r="L24" s="64"/>
      <c r="M24" s="65"/>
      <c r="N24" s="66"/>
    </row>
    <row r="25" spans="2:18" s="74" customFormat="1" ht="15.75" customHeight="1" thickBot="1" x14ac:dyDescent="0.3">
      <c r="B25" s="67" t="s">
        <v>24</v>
      </c>
      <c r="C25" s="68">
        <f>AVERAGEIF(C12:C23,"&gt;0")</f>
        <v>5</v>
      </c>
      <c r="D25" s="68">
        <f>AVERAGEIF(D12:D23,"&gt;0")</f>
        <v>3</v>
      </c>
      <c r="E25" s="92" t="e">
        <f>AVERAGEIF(E12:E23,"&gt;0")</f>
        <v>#DIV/0!</v>
      </c>
      <c r="F25" s="68">
        <f>AVERAGEIF(F12:F23,"&gt;0")</f>
        <v>2</v>
      </c>
      <c r="G25" s="68">
        <f>AVERAGEIF(G12:G23,"&gt;0")</f>
        <v>10</v>
      </c>
      <c r="H25" s="69">
        <f>SUM(H11:H23)</f>
        <v>663</v>
      </c>
      <c r="I25" s="69">
        <f>SUM(I11:I23)</f>
        <v>2577</v>
      </c>
      <c r="J25" s="70">
        <f>SUM(J11:J23)</f>
        <v>1848</v>
      </c>
      <c r="K25" s="71">
        <f>SUM(K11:K23)</f>
        <v>1236.5</v>
      </c>
      <c r="L25" s="72">
        <f>SUM(L12:L23)</f>
        <v>8</v>
      </c>
      <c r="M25" s="69">
        <f>SUM(M12:M23)</f>
        <v>1340.5</v>
      </c>
      <c r="N25" s="73">
        <f>K25/I25</f>
        <v>0.47982149786573536</v>
      </c>
    </row>
    <row r="26" spans="2:18" s="22" customFormat="1" ht="15.75" customHeight="1" x14ac:dyDescent="0.2">
      <c r="J26" s="75"/>
      <c r="L26" s="76"/>
    </row>
    <row r="27" spans="2:18" s="22" customFormat="1" ht="15.75" customHeight="1" x14ac:dyDescent="0.25">
      <c r="B27" s="115" t="s">
        <v>25</v>
      </c>
      <c r="C27" s="116"/>
      <c r="D27" s="116"/>
      <c r="E27" s="116"/>
      <c r="F27" s="116"/>
      <c r="G27" s="117"/>
      <c r="H27" s="77"/>
      <c r="J27" s="118" t="s">
        <v>26</v>
      </c>
      <c r="K27" s="119"/>
      <c r="L27" s="119"/>
      <c r="M27" s="119"/>
      <c r="N27" s="120"/>
    </row>
    <row r="28" spans="2:18" s="22" customFormat="1" ht="15.75" customHeight="1" x14ac:dyDescent="0.2">
      <c r="B28" s="78"/>
      <c r="C28" s="119" t="s">
        <v>27</v>
      </c>
      <c r="D28" s="120"/>
      <c r="E28" s="121" t="s">
        <v>28</v>
      </c>
      <c r="F28" s="120"/>
      <c r="G28" s="79" t="s">
        <v>16</v>
      </c>
      <c r="H28" s="75"/>
      <c r="J28" s="107" t="s">
        <v>29</v>
      </c>
      <c r="K28" s="108"/>
      <c r="L28" s="108"/>
      <c r="M28" s="109"/>
      <c r="N28" s="89">
        <f>J25/L25</f>
        <v>231</v>
      </c>
    </row>
    <row r="29" spans="2:18" s="22" customFormat="1" ht="15.75" customHeight="1" x14ac:dyDescent="0.2">
      <c r="B29" s="80" t="s">
        <v>30</v>
      </c>
      <c r="C29" s="104">
        <v>24.45</v>
      </c>
      <c r="D29" s="105"/>
      <c r="E29" s="106">
        <v>11.05</v>
      </c>
      <c r="F29" s="105"/>
      <c r="G29" s="81">
        <f>C29+E29</f>
        <v>35.5</v>
      </c>
      <c r="H29" s="82"/>
      <c r="J29" s="107" t="s">
        <v>31</v>
      </c>
      <c r="K29" s="108"/>
      <c r="L29" s="108"/>
      <c r="M29" s="109"/>
      <c r="N29" s="89">
        <f>K25/L25</f>
        <v>154.5625</v>
      </c>
    </row>
    <row r="30" spans="2:18" s="22" customFormat="1" ht="15.75" customHeight="1" x14ac:dyDescent="0.2">
      <c r="B30" s="83" t="str">
        <f>IF(D10="E+1","EE &amp; One","EE &amp; Spouse")</f>
        <v>EE &amp; Spouse</v>
      </c>
      <c r="C30" s="104">
        <v>49.45</v>
      </c>
      <c r="D30" s="105"/>
      <c r="E30" s="106">
        <v>11.05</v>
      </c>
      <c r="F30" s="105"/>
      <c r="G30" s="81">
        <f>C30+E30</f>
        <v>60.5</v>
      </c>
      <c r="H30" s="82"/>
      <c r="J30" s="107" t="s">
        <v>32</v>
      </c>
      <c r="K30" s="108"/>
      <c r="L30" s="108"/>
      <c r="M30" s="109"/>
      <c r="N30" s="90">
        <f>((L25/COUNTIF(G12:G23,"&gt;0"))*12)/G25</f>
        <v>1.6</v>
      </c>
    </row>
    <row r="31" spans="2:18" s="22" customFormat="1" ht="15.75" customHeight="1" x14ac:dyDescent="0.2">
      <c r="B31" s="80" t="s">
        <v>33</v>
      </c>
      <c r="C31" s="104">
        <v>49.45</v>
      </c>
      <c r="D31" s="105"/>
      <c r="E31" s="106">
        <v>11.05</v>
      </c>
      <c r="F31" s="105"/>
      <c r="G31" s="81">
        <f>C31+E31</f>
        <v>60.5</v>
      </c>
      <c r="H31" s="82"/>
      <c r="J31" s="107" t="s">
        <v>34</v>
      </c>
      <c r="K31" s="108"/>
      <c r="L31" s="108"/>
      <c r="M31" s="109"/>
      <c r="N31" s="91">
        <f>K25/J25</f>
        <v>0.66910173160173159</v>
      </c>
    </row>
    <row r="32" spans="2:18" s="22" customFormat="1" ht="15.75" customHeight="1" x14ac:dyDescent="0.2">
      <c r="B32" s="80" t="s">
        <v>35</v>
      </c>
      <c r="C32" s="104">
        <v>79.45</v>
      </c>
      <c r="D32" s="105"/>
      <c r="E32" s="106">
        <v>11.05</v>
      </c>
      <c r="F32" s="105"/>
      <c r="G32" s="81">
        <f>C32+E32</f>
        <v>90.5</v>
      </c>
      <c r="H32" s="82"/>
      <c r="J32" s="107" t="s">
        <v>36</v>
      </c>
      <c r="K32" s="108"/>
      <c r="L32" s="108"/>
      <c r="M32" s="109"/>
      <c r="N32" s="89">
        <f>K25/G25/(COUNTIF(G12:G23,"&gt;0"))</f>
        <v>20.608333333333334</v>
      </c>
    </row>
    <row r="33" spans="2:14" s="22" customFormat="1" ht="15.75" customHeight="1" x14ac:dyDescent="0.2">
      <c r="C33" s="82"/>
      <c r="D33" s="82"/>
      <c r="E33" s="82"/>
      <c r="F33" s="84"/>
      <c r="G33" s="82"/>
      <c r="H33" s="82"/>
      <c r="J33" s="85"/>
      <c r="K33" s="85"/>
      <c r="L33" s="85"/>
      <c r="M33" s="85"/>
      <c r="N33" s="86"/>
    </row>
    <row r="34" spans="2:14" s="22" customFormat="1" ht="15.75" customHeight="1" thickBot="1" x14ac:dyDescent="0.25">
      <c r="J34" s="75"/>
      <c r="L34" s="76"/>
    </row>
    <row r="35" spans="2:14" s="22" customFormat="1" ht="15.75" customHeight="1" thickBot="1" x14ac:dyDescent="0.3">
      <c r="B35" s="128" t="s">
        <v>37</v>
      </c>
      <c r="C35" s="128"/>
      <c r="D35" s="128"/>
      <c r="E35" s="128"/>
      <c r="F35" s="128"/>
      <c r="G35" s="128"/>
      <c r="H35" s="77"/>
      <c r="J35" s="129" t="s">
        <v>40</v>
      </c>
      <c r="K35" s="130"/>
      <c r="L35" s="130"/>
      <c r="M35" s="130"/>
      <c r="N35" s="131"/>
    </row>
    <row r="36" spans="2:14" s="22" customFormat="1" ht="15.75" customHeight="1" x14ac:dyDescent="0.2">
      <c r="B36" s="122" t="s">
        <v>48</v>
      </c>
      <c r="C36" s="123"/>
      <c r="D36" s="123"/>
      <c r="E36" s="123"/>
      <c r="F36" s="123"/>
      <c r="G36" s="124"/>
      <c r="H36" s="87"/>
      <c r="J36" s="125" t="s">
        <v>29</v>
      </c>
      <c r="K36" s="126"/>
      <c r="L36" s="126"/>
      <c r="M36" s="127"/>
      <c r="N36" s="96">
        <v>246.79</v>
      </c>
    </row>
    <row r="37" spans="2:14" s="22" customFormat="1" ht="15.75" customHeight="1" x14ac:dyDescent="0.2">
      <c r="B37" s="147" t="s">
        <v>49</v>
      </c>
      <c r="C37" s="148"/>
      <c r="D37" s="148"/>
      <c r="E37" s="148"/>
      <c r="F37" s="148"/>
      <c r="G37" s="149"/>
      <c r="H37" s="87"/>
      <c r="J37" s="125" t="s">
        <v>31</v>
      </c>
      <c r="K37" s="126"/>
      <c r="L37" s="126"/>
      <c r="M37" s="127"/>
      <c r="N37" s="96">
        <v>160.31</v>
      </c>
    </row>
    <row r="38" spans="2:14" s="22" customFormat="1" ht="15.75" customHeight="1" x14ac:dyDescent="0.2">
      <c r="B38" s="147" t="s">
        <v>44</v>
      </c>
      <c r="C38" s="148"/>
      <c r="D38" s="148"/>
      <c r="E38" s="148"/>
      <c r="F38" s="148"/>
      <c r="G38" s="149"/>
      <c r="H38" s="87"/>
      <c r="J38" s="125" t="s">
        <v>32</v>
      </c>
      <c r="K38" s="126"/>
      <c r="L38" s="126"/>
      <c r="M38" s="127"/>
      <c r="N38" s="97">
        <v>3.4</v>
      </c>
    </row>
    <row r="39" spans="2:14" s="22" customFormat="1" ht="15.75" customHeight="1" x14ac:dyDescent="0.2">
      <c r="B39" s="147" t="s">
        <v>50</v>
      </c>
      <c r="C39" s="148"/>
      <c r="D39" s="148"/>
      <c r="E39" s="148"/>
      <c r="F39" s="148"/>
      <c r="G39" s="149"/>
      <c r="H39" s="87"/>
      <c r="J39" s="125" t="s">
        <v>34</v>
      </c>
      <c r="K39" s="126"/>
      <c r="L39" s="126"/>
      <c r="M39" s="127"/>
      <c r="N39" s="98">
        <v>0.64959999999999996</v>
      </c>
    </row>
    <row r="40" spans="2:14" s="22" customFormat="1" ht="15.75" thickBot="1" x14ac:dyDescent="0.25">
      <c r="B40" s="132" t="s">
        <v>51</v>
      </c>
      <c r="C40" s="133"/>
      <c r="D40" s="133"/>
      <c r="E40" s="133"/>
      <c r="F40" s="133"/>
      <c r="G40" s="134"/>
      <c r="H40" s="87"/>
      <c r="J40" s="125" t="s">
        <v>36</v>
      </c>
      <c r="K40" s="126"/>
      <c r="L40" s="126"/>
      <c r="M40" s="127"/>
      <c r="N40" s="96">
        <v>45.42</v>
      </c>
    </row>
    <row r="41" spans="2:14" s="22" customFormat="1" ht="15.75" x14ac:dyDescent="0.25">
      <c r="J41" s="135" t="s">
        <v>41</v>
      </c>
      <c r="K41" s="136"/>
      <c r="L41" s="136"/>
      <c r="M41" s="137"/>
      <c r="N41" s="99">
        <v>1029.5</v>
      </c>
    </row>
    <row r="42" spans="2:14" s="22" customFormat="1" ht="10.15" customHeight="1" x14ac:dyDescent="0.2">
      <c r="J42" s="93"/>
      <c r="K42" s="94"/>
      <c r="L42" s="95"/>
      <c r="M42" s="94"/>
      <c r="N42" s="94"/>
    </row>
    <row r="43" spans="2:14" s="22" customFormat="1" ht="10.15" customHeight="1" x14ac:dyDescent="0.2">
      <c r="B43" s="138" t="s">
        <v>43</v>
      </c>
      <c r="C43" s="139"/>
      <c r="D43" s="139"/>
      <c r="E43" s="139"/>
      <c r="F43" s="139"/>
      <c r="G43" s="139"/>
      <c r="H43" s="139"/>
      <c r="I43" s="139"/>
      <c r="J43" s="139"/>
      <c r="K43" s="139"/>
      <c r="L43" s="139"/>
      <c r="M43" s="139"/>
      <c r="N43" s="140"/>
    </row>
    <row r="44" spans="2:14" s="22" customFormat="1" ht="10.15" customHeight="1" x14ac:dyDescent="0.2">
      <c r="B44" s="141"/>
      <c r="C44" s="142"/>
      <c r="D44" s="142"/>
      <c r="E44" s="142"/>
      <c r="F44" s="142"/>
      <c r="G44" s="142"/>
      <c r="H44" s="142"/>
      <c r="I44" s="142"/>
      <c r="J44" s="142"/>
      <c r="K44" s="142"/>
      <c r="L44" s="142"/>
      <c r="M44" s="142"/>
      <c r="N44" s="143"/>
    </row>
    <row r="45" spans="2:14" s="22" customFormat="1" ht="10.15" customHeight="1" x14ac:dyDescent="0.2">
      <c r="B45" s="141"/>
      <c r="C45" s="142"/>
      <c r="D45" s="142"/>
      <c r="E45" s="142"/>
      <c r="F45" s="142"/>
      <c r="G45" s="142"/>
      <c r="H45" s="142"/>
      <c r="I45" s="142"/>
      <c r="J45" s="142"/>
      <c r="K45" s="142"/>
      <c r="L45" s="142"/>
      <c r="M45" s="142"/>
      <c r="N45" s="143"/>
    </row>
    <row r="46" spans="2:14" s="22" customFormat="1" ht="10.15" customHeight="1" x14ac:dyDescent="0.2">
      <c r="B46" s="141"/>
      <c r="C46" s="142"/>
      <c r="D46" s="142"/>
      <c r="E46" s="142"/>
      <c r="F46" s="142"/>
      <c r="G46" s="142"/>
      <c r="H46" s="142"/>
      <c r="I46" s="142"/>
      <c r="J46" s="142"/>
      <c r="K46" s="142"/>
      <c r="L46" s="142"/>
      <c r="M46" s="142"/>
      <c r="N46" s="143"/>
    </row>
    <row r="47" spans="2:14" s="22" customFormat="1" ht="10.15" customHeight="1" x14ac:dyDescent="0.2">
      <c r="B47" s="141"/>
      <c r="C47" s="142"/>
      <c r="D47" s="142"/>
      <c r="E47" s="142"/>
      <c r="F47" s="142"/>
      <c r="G47" s="142"/>
      <c r="H47" s="142"/>
      <c r="I47" s="142"/>
      <c r="J47" s="142"/>
      <c r="K47" s="142"/>
      <c r="L47" s="142"/>
      <c r="M47" s="142"/>
      <c r="N47" s="143"/>
    </row>
    <row r="48" spans="2:14" s="22" customFormat="1" ht="10.15" customHeight="1" x14ac:dyDescent="0.2">
      <c r="B48" s="141"/>
      <c r="C48" s="142"/>
      <c r="D48" s="142"/>
      <c r="E48" s="142"/>
      <c r="F48" s="142"/>
      <c r="G48" s="142"/>
      <c r="H48" s="142"/>
      <c r="I48" s="142"/>
      <c r="J48" s="142"/>
      <c r="K48" s="142"/>
      <c r="L48" s="142"/>
      <c r="M48" s="142"/>
      <c r="N48" s="143"/>
    </row>
    <row r="49" spans="2:14" s="22" customFormat="1" ht="10.15" customHeight="1" x14ac:dyDescent="0.2">
      <c r="B49" s="144"/>
      <c r="C49" s="145"/>
      <c r="D49" s="145"/>
      <c r="E49" s="145"/>
      <c r="F49" s="145"/>
      <c r="G49" s="145"/>
      <c r="H49" s="145"/>
      <c r="I49" s="145"/>
      <c r="J49" s="145"/>
      <c r="K49" s="145"/>
      <c r="L49" s="145"/>
      <c r="M49" s="145"/>
      <c r="N49" s="146"/>
    </row>
    <row r="50" spans="2:14" s="22" customFormat="1" ht="10.15" customHeight="1" x14ac:dyDescent="0.2">
      <c r="J50" s="75"/>
      <c r="L50" s="76"/>
    </row>
    <row r="51" spans="2:14" s="22" customFormat="1" ht="10.15" customHeight="1" x14ac:dyDescent="0.2">
      <c r="J51" s="75"/>
      <c r="L51" s="76"/>
    </row>
  </sheetData>
  <mergeCells count="44">
    <mergeCell ref="B40:G40"/>
    <mergeCell ref="J40:M40"/>
    <mergeCell ref="J41:M41"/>
    <mergeCell ref="B43:N49"/>
    <mergeCell ref="B37:G37"/>
    <mergeCell ref="J37:M37"/>
    <mergeCell ref="B38:G38"/>
    <mergeCell ref="J38:M38"/>
    <mergeCell ref="B39:G39"/>
    <mergeCell ref="J39:M39"/>
    <mergeCell ref="B36:G36"/>
    <mergeCell ref="J36:M36"/>
    <mergeCell ref="C30:D30"/>
    <mergeCell ref="E30:F30"/>
    <mergeCell ref="J30:M30"/>
    <mergeCell ref="C31:D31"/>
    <mergeCell ref="E31:F31"/>
    <mergeCell ref="J31:M31"/>
    <mergeCell ref="C32:D32"/>
    <mergeCell ref="E32:F32"/>
    <mergeCell ref="J32:M32"/>
    <mergeCell ref="B35:G35"/>
    <mergeCell ref="J35:N35"/>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2026-06-01T18:29:16Z</cp:lastPrinted>
  <dcterms:created xsi:type="dcterms:W3CDTF">2010-01-16T14:52:12Z</dcterms:created>
  <dcterms:modified xsi:type="dcterms:W3CDTF">2026-07-01T18:49:25Z</dcterms:modified>
</cp:coreProperties>
</file>