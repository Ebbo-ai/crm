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A9857E83-CD73-4C83-930E-78B93A232AA0}" xr6:coauthVersionLast="47" xr6:coauthVersionMax="47" xr10:uidLastSave="{00000000-0000-0000-0000-000000000000}"/>
  <bookViews>
    <workbookView xWindow="-105" yWindow="0" windowWidth="26010" windowHeight="20985" xr2:uid="{00000000-000D-0000-FFFF-FFFF00000000}"/>
  </bookViews>
  <sheets>
    <sheet name="Summary" sheetId="4" r:id="rId1"/>
    <sheet name="SILVER" sheetId="1" r:id="rId2"/>
    <sheet name="PLATINUM"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4" l="1"/>
  <c r="N17" i="5"/>
  <c r="N16" i="5"/>
  <c r="N17" i="1"/>
  <c r="N16" i="4"/>
  <c r="N16" i="1"/>
  <c r="M13" i="5"/>
  <c r="M14" i="5"/>
  <c r="M15" i="5"/>
  <c r="M18" i="5"/>
  <c r="M19" i="5"/>
  <c r="M20" i="5"/>
  <c r="M21" i="5"/>
  <c r="M22" i="5"/>
  <c r="M23" i="5"/>
  <c r="M12" i="5"/>
  <c r="N13" i="5"/>
  <c r="N14" i="5"/>
  <c r="N15" i="5"/>
  <c r="N12" i="5"/>
  <c r="N13" i="1"/>
  <c r="N14" i="1"/>
  <c r="N15" i="1"/>
  <c r="N12" i="1"/>
  <c r="M13" i="1"/>
  <c r="M14" i="1"/>
  <c r="M15" i="1"/>
  <c r="M18" i="1"/>
  <c r="M19" i="1"/>
  <c r="M20" i="1"/>
  <c r="M21" i="1"/>
  <c r="M22" i="1"/>
  <c r="M23" i="1"/>
  <c r="M12" i="1"/>
  <c r="N13" i="4"/>
  <c r="N14" i="4"/>
  <c r="N15" i="4"/>
  <c r="N12" i="4"/>
  <c r="L15" i="4"/>
  <c r="K19" i="4"/>
  <c r="L13" i="4"/>
  <c r="L14" i="4"/>
  <c r="L12" i="4"/>
  <c r="K13" i="4"/>
  <c r="K14" i="4"/>
  <c r="K15" i="4"/>
  <c r="K16" i="4"/>
  <c r="K17" i="4"/>
  <c r="K18" i="4"/>
  <c r="K20" i="4"/>
  <c r="K21" i="4"/>
  <c r="K22" i="4"/>
  <c r="K23" i="4"/>
  <c r="K12" i="4"/>
  <c r="J13" i="4"/>
  <c r="J14" i="4"/>
  <c r="J15" i="4"/>
  <c r="J16" i="4"/>
  <c r="J17" i="4"/>
  <c r="J18" i="4"/>
  <c r="J19" i="4"/>
  <c r="J20" i="4"/>
  <c r="J21" i="4"/>
  <c r="J22" i="4"/>
  <c r="J23" i="4"/>
  <c r="J12" i="4"/>
  <c r="F13" i="4"/>
  <c r="F14" i="4"/>
  <c r="F15" i="4"/>
  <c r="F16" i="4"/>
  <c r="F17" i="4"/>
  <c r="F18" i="4"/>
  <c r="F19" i="4"/>
  <c r="F20" i="4"/>
  <c r="F21" i="4"/>
  <c r="F22" i="4"/>
  <c r="F23" i="4"/>
  <c r="F12" i="4"/>
  <c r="E13" i="4"/>
  <c r="E14" i="4"/>
  <c r="E15" i="4"/>
  <c r="E16" i="4"/>
  <c r="E17" i="4"/>
  <c r="E18" i="4"/>
  <c r="E19" i="4"/>
  <c r="E20" i="4"/>
  <c r="E21" i="4"/>
  <c r="E22" i="4"/>
  <c r="E23" i="4"/>
  <c r="E12" i="4"/>
  <c r="D13" i="4"/>
  <c r="D14" i="4"/>
  <c r="D15" i="4"/>
  <c r="D16" i="4"/>
  <c r="D17" i="4"/>
  <c r="D18" i="4"/>
  <c r="D19" i="4"/>
  <c r="D20" i="4"/>
  <c r="D21" i="4"/>
  <c r="D22" i="4"/>
  <c r="D23" i="4"/>
  <c r="D12" i="4"/>
  <c r="C13" i="4"/>
  <c r="C14" i="4"/>
  <c r="C15" i="4"/>
  <c r="C16" i="4"/>
  <c r="C17" i="4"/>
  <c r="C18" i="4"/>
  <c r="C19" i="4"/>
  <c r="C20" i="4"/>
  <c r="C21" i="4"/>
  <c r="C22" i="4"/>
  <c r="C23" i="4"/>
  <c r="C12" i="4"/>
  <c r="G32" i="5" l="1"/>
  <c r="G31" i="5"/>
  <c r="G30" i="5"/>
  <c r="B30" i="5"/>
  <c r="G29" i="5"/>
  <c r="L25" i="5"/>
  <c r="K25" i="5"/>
  <c r="J25" i="5"/>
  <c r="F25" i="5"/>
  <c r="E25" i="5"/>
  <c r="D25" i="5"/>
  <c r="C25" i="5"/>
  <c r="I23" i="5"/>
  <c r="H23" i="5"/>
  <c r="G23" i="5"/>
  <c r="B23" i="5"/>
  <c r="I22" i="5"/>
  <c r="H22" i="5"/>
  <c r="G22" i="5"/>
  <c r="B22" i="5"/>
  <c r="I21" i="5"/>
  <c r="H21" i="5"/>
  <c r="G21" i="5"/>
  <c r="B21" i="5"/>
  <c r="I20" i="5"/>
  <c r="H20" i="5"/>
  <c r="G20" i="5"/>
  <c r="B20" i="5"/>
  <c r="I19" i="5"/>
  <c r="H19" i="5"/>
  <c r="G19" i="5"/>
  <c r="B19" i="5"/>
  <c r="I18" i="5"/>
  <c r="H18" i="5"/>
  <c r="G18" i="5"/>
  <c r="B18" i="5"/>
  <c r="I17" i="5"/>
  <c r="M17" i="5" s="1"/>
  <c r="H17" i="5"/>
  <c r="G17" i="5"/>
  <c r="B17" i="5"/>
  <c r="I16" i="5"/>
  <c r="M16" i="5" s="1"/>
  <c r="H16" i="5"/>
  <c r="G16" i="5"/>
  <c r="B16" i="5"/>
  <c r="I15" i="5"/>
  <c r="H15" i="5"/>
  <c r="G15" i="5"/>
  <c r="B15" i="5"/>
  <c r="I14" i="5"/>
  <c r="H14" i="5"/>
  <c r="G14" i="5"/>
  <c r="B14" i="5"/>
  <c r="I13" i="5"/>
  <c r="H13" i="5"/>
  <c r="G13" i="5"/>
  <c r="B13" i="5"/>
  <c r="I12" i="5"/>
  <c r="H12" i="5"/>
  <c r="G12" i="5"/>
  <c r="B12" i="5"/>
  <c r="D5" i="5"/>
  <c r="J3" i="5"/>
  <c r="H3" i="5"/>
  <c r="B2" i="5"/>
  <c r="B1" i="5"/>
  <c r="G25" i="5" l="1"/>
  <c r="N32" i="5" s="1"/>
  <c r="N28" i="5"/>
  <c r="H25" i="5"/>
  <c r="N29" i="5"/>
  <c r="I25" i="5"/>
  <c r="N25" i="5" s="1"/>
  <c r="N31" i="5"/>
  <c r="N30" i="5" l="1"/>
  <c r="M25" i="5"/>
  <c r="B13" i="1"/>
  <c r="B14" i="1"/>
  <c r="B15" i="1"/>
  <c r="B16" i="1"/>
  <c r="B17" i="1"/>
  <c r="B18" i="1"/>
  <c r="B19" i="1"/>
  <c r="B20" i="1"/>
  <c r="B21" i="1"/>
  <c r="B22" i="1"/>
  <c r="B23" i="1"/>
  <c r="B12" i="1"/>
  <c r="G18" i="1" l="1"/>
  <c r="G18" i="4" s="1"/>
  <c r="J3" i="1" l="1"/>
  <c r="H3" i="1"/>
  <c r="D5" i="1"/>
  <c r="E25" i="1"/>
  <c r="B2" i="1"/>
  <c r="B1" i="1"/>
  <c r="G12" i="1"/>
  <c r="G12" i="4" s="1"/>
  <c r="H12" i="1"/>
  <c r="H12" i="4" s="1"/>
  <c r="I12" i="1"/>
  <c r="I12" i="4" s="1"/>
  <c r="G13" i="1"/>
  <c r="G13" i="4" s="1"/>
  <c r="H13" i="1"/>
  <c r="H13" i="4" s="1"/>
  <c r="I13" i="1"/>
  <c r="I13" i="4" s="1"/>
  <c r="G14" i="1"/>
  <c r="G14" i="4" s="1"/>
  <c r="H14" i="1"/>
  <c r="H14" i="4" s="1"/>
  <c r="I14" i="1"/>
  <c r="I14" i="4" s="1"/>
  <c r="G15" i="1"/>
  <c r="G15" i="4" s="1"/>
  <c r="H15" i="1"/>
  <c r="H15" i="4" s="1"/>
  <c r="I15" i="1"/>
  <c r="I15" i="4" s="1"/>
  <c r="G16" i="1"/>
  <c r="G16" i="4" s="1"/>
  <c r="H16" i="1"/>
  <c r="H16" i="4" s="1"/>
  <c r="I16" i="1"/>
  <c r="G17" i="1"/>
  <c r="G17" i="4" s="1"/>
  <c r="H17" i="1"/>
  <c r="H17" i="4" s="1"/>
  <c r="I17" i="1"/>
  <c r="H18" i="1"/>
  <c r="H18" i="4" s="1"/>
  <c r="I18" i="1"/>
  <c r="I18" i="4" s="1"/>
  <c r="G19" i="1"/>
  <c r="G19" i="4" s="1"/>
  <c r="H19" i="1"/>
  <c r="H19" i="4" s="1"/>
  <c r="I19" i="1"/>
  <c r="I19" i="4" s="1"/>
  <c r="G20" i="1"/>
  <c r="G20" i="4" s="1"/>
  <c r="H20" i="1"/>
  <c r="H20" i="4" s="1"/>
  <c r="I20" i="1"/>
  <c r="I20" i="4" s="1"/>
  <c r="G21" i="1"/>
  <c r="G21" i="4" s="1"/>
  <c r="H21" i="1"/>
  <c r="I21" i="1"/>
  <c r="I21" i="4" s="1"/>
  <c r="G22" i="1"/>
  <c r="G22" i="4" s="1"/>
  <c r="H22" i="1"/>
  <c r="H22" i="4" s="1"/>
  <c r="I22" i="1"/>
  <c r="I22" i="4" s="1"/>
  <c r="G23" i="1"/>
  <c r="G23" i="4" s="1"/>
  <c r="H23" i="1"/>
  <c r="H23" i="4" s="1"/>
  <c r="I23" i="1"/>
  <c r="I23" i="4" s="1"/>
  <c r="C25" i="1"/>
  <c r="D25" i="1"/>
  <c r="F25" i="1"/>
  <c r="J25" i="1"/>
  <c r="K25" i="1"/>
  <c r="L25" i="1"/>
  <c r="G29" i="1"/>
  <c r="B30" i="1"/>
  <c r="G30" i="1"/>
  <c r="G31" i="1"/>
  <c r="G32" i="1"/>
  <c r="C25" i="4"/>
  <c r="D25" i="4"/>
  <c r="I17" i="4" l="1"/>
  <c r="M17" i="1"/>
  <c r="I16" i="4"/>
  <c r="M16" i="1"/>
  <c r="M16" i="4" s="1"/>
  <c r="H21" i="4"/>
  <c r="M21" i="4"/>
  <c r="M14" i="4"/>
  <c r="M18" i="4"/>
  <c r="M15" i="4"/>
  <c r="M19" i="4"/>
  <c r="M12" i="4"/>
  <c r="M17" i="4"/>
  <c r="M13" i="4"/>
  <c r="M23" i="4"/>
  <c r="M22" i="4"/>
  <c r="M20" i="4"/>
  <c r="N28" i="1"/>
  <c r="H25" i="1"/>
  <c r="L25" i="4"/>
  <c r="K25" i="4"/>
  <c r="J25" i="4"/>
  <c r="F25" i="4"/>
  <c r="E25" i="4"/>
  <c r="N29" i="1"/>
  <c r="N31" i="1"/>
  <c r="I25" i="1"/>
  <c r="N25" i="1" s="1"/>
  <c r="G25" i="1"/>
  <c r="G25" i="4" l="1"/>
  <c r="N32" i="4" s="1"/>
  <c r="H25" i="4"/>
  <c r="I25" i="4"/>
  <c r="N25" i="4" s="1"/>
  <c r="N28" i="4"/>
  <c r="N29" i="4"/>
  <c r="N31" i="4"/>
  <c r="M25" i="1"/>
  <c r="N30" i="1"/>
  <c r="N32" i="1"/>
  <c r="N30" i="4" l="1"/>
  <c r="M25" i="4"/>
</calcChain>
</file>

<file path=xl/sharedStrings.xml><?xml version="1.0" encoding="utf-8"?>
<sst xmlns="http://schemas.openxmlformats.org/spreadsheetml/2006/main" count="166" uniqueCount="63">
  <si>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</si>
  <si>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</si>
  <si>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</si>
  <si>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</si>
  <si>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</si>
  <si>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</si>
  <si>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</si>
  <si>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</si>
  <si>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</si>
  <si>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</si>
  <si>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</si>
  <si>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</si>
  <si>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</si>
  <si>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</si>
  <si>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</si>
  <si>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</si>
  <si>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</si>
  <si>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</si>
  <si>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</si>
  <si>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</si>
  <si>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</si>
  <si>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</si>
  <si>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</si>
  <si>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</si>
  <si>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</si>
  <si>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</si>
  <si>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</si>
  <si>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</si>
  <si>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</si>
  <si>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</si>
  <si>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</si>
  <si>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</si>
  <si>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</si>
  <si>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</si>
  <si>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</si>
  <si>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</si>
  <si>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</si>
  <si>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</si>
  <si>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</si>
  <si>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Assignment of Benefits</t>
  </si>
  <si>
    <t>Summary</t>
  </si>
  <si>
    <t>Prior Year Data</t>
  </si>
  <si>
    <t>Surplus (Deficit)</t>
  </si>
  <si>
    <t>Monthly Performance Report - Budgeted vs Actual Claims Paid</t>
  </si>
  <si>
    <t>Dental</t>
  </si>
  <si>
    <t>E+S</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</si>
  <si>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</si>
  <si>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</si>
  <si>
    <t>Windsor HR Services, Inc.</t>
  </si>
  <si>
    <t>S468</t>
  </si>
  <si>
    <t>Silver</t>
  </si>
  <si>
    <t>S468DEN SILVER</t>
  </si>
  <si>
    <t>100% of the first $100</t>
  </si>
  <si>
    <t>50% of the next $2,300</t>
  </si>
  <si>
    <t xml:space="preserve">Ortho not covered </t>
  </si>
  <si>
    <t>Annual Maximum Amount $1,250</t>
  </si>
  <si>
    <t xml:space="preserve">Ortho covered for Adults and Children*After waiting period </t>
  </si>
  <si>
    <t>PLATINUM</t>
  </si>
  <si>
    <t>S468DEN PLATINUM</t>
  </si>
  <si>
    <t>100% of the first $300.00</t>
  </si>
  <si>
    <t>50% of the remaining $3,400</t>
  </si>
  <si>
    <t>Annual Maximum Amount $2,000</t>
  </si>
  <si>
    <t>S468DEN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</si>
</sst>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sz val="12"/>
      <color theme="1"/>
      <name val="Calibri"/>
      <family val="2"/>
      <scheme val="minor"/>
    </font>
    <font>
      <u/>
      <sz val="12"/>
      <name val="Arial"/>
      <family val="2"/>
    </font>
    <font>
      <b/>
      <sz val="12"/>
      <color rgb="FF00B050"/>
      <name val="Arial"/>
      <family val="2"/>
    </font>
    <font>
      <sz val="12"/>
      <color rgb="FF00B050"/>
      <name val="Arial"/>
      <family val="2"/>
    </font>
    <font>
      <b/>
      <sz val="12"/>
      <color theme="0"/>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50">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13" fillId="0" borderId="0" xfId="0" applyFont="1"/>
    <xf numFmtId="44" fontId="12" fillId="0" borderId="0" xfId="2" applyFont="1" applyAlignment="1">
      <alignment horizontal="right"/>
    </xf>
    <xf numFmtId="0" fontId="12" fillId="0" borderId="0" xfId="0" applyFont="1"/>
    <xf numFmtId="2" fontId="11" fillId="0" borderId="1" xfId="0" applyNumberFormat="1" applyFont="1" applyBorder="1" applyAlignment="1">
      <alignment horizontal="center" vertical="center"/>
    </xf>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10" fontId="12" fillId="0" borderId="12" xfId="3" applyNumberFormat="1"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10" fontId="11" fillId="0" borderId="15"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44" fontId="12" fillId="0" borderId="17" xfId="2" applyFont="1" applyBorder="1"/>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43" fontId="12" fillId="0" borderId="17" xfId="1" applyFont="1" applyBorder="1"/>
    <xf numFmtId="10" fontId="12" fillId="0" borderId="17" xfId="0" applyNumberFormat="1" applyFont="1" applyBorder="1"/>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37" fontId="12" fillId="0" borderId="12" xfId="2" applyNumberFormat="1" applyFont="1" applyBorder="1" applyAlignment="1">
      <alignment horizontal="right"/>
    </xf>
    <xf numFmtId="0" fontId="12" fillId="0" borderId="0" xfId="0" applyFont="1" applyAlignment="1">
      <alignment horizontal="right"/>
    </xf>
    <xf numFmtId="44" fontId="16" fillId="0" borderId="17" xfId="2" applyFont="1" applyBorder="1"/>
    <xf numFmtId="43" fontId="16" fillId="0" borderId="17" xfId="1" applyFont="1" applyBorder="1"/>
    <xf numFmtId="10" fontId="16" fillId="0" borderId="17" xfId="0" applyNumberFormat="1" applyFont="1" applyBorder="1"/>
    <xf numFmtId="165" fontId="17" fillId="0" borderId="14" xfId="1" applyNumberFormat="1" applyFont="1" applyBorder="1" applyAlignment="1">
      <alignment horizontal="right"/>
    </xf>
    <xf numFmtId="165" fontId="17" fillId="2" borderId="14" xfId="1" applyNumberFormat="1" applyFont="1" applyFill="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2" fillId="0" borderId="1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123825</xdr:colOff>
      <xdr:row>2</xdr:row>
      <xdr:rowOff>209550</xdr:rowOff>
    </xdr:to>
    <xdr:pic>
      <xdr:nvPicPr>
        <xdr:cNvPr id="2101" name="Picture 1">
          <a:extLst>
            <a:ext uri="{FF2B5EF4-FFF2-40B4-BE49-F238E27FC236}">
              <a16:creationId xmlns:a16="http://schemas.microsoft.com/office/drawing/2014/main" id="{00000000-0008-0000-0000-000035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92075</xdr:colOff>
      <xdr:row>3</xdr:row>
      <xdr:rowOff>114300</xdr:rowOff>
    </xdr:to>
    <xdr:pic>
      <xdr:nvPicPr>
        <xdr:cNvPr id="3117" name="Picture 1">
          <a:extLst>
            <a:ext uri="{FF2B5EF4-FFF2-40B4-BE49-F238E27FC236}">
              <a16:creationId xmlns:a16="http://schemas.microsoft.com/office/drawing/2014/main" id="{00000000-0008-0000-0100-00002D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2</xdr:col>
      <xdr:colOff>0</xdr:colOff>
      <xdr:row>3</xdr:row>
      <xdr:rowOff>152400</xdr:rowOff>
    </xdr:to>
    <xdr:pic>
      <xdr:nvPicPr>
        <xdr:cNvPr id="3" name="Picture 1">
          <a:extLst>
            <a:ext uri="{FF2B5EF4-FFF2-40B4-BE49-F238E27FC236}">
              <a16:creationId xmlns:a16="http://schemas.microsoft.com/office/drawing/2014/main" id="{A34C23D5-46AB-47C3-8D34-58C59F6C2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R19" sqref="R19"/>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1" t="s">
        <v>48</v>
      </c>
      <c r="C1" s="131"/>
      <c r="D1" s="131"/>
      <c r="E1" s="131"/>
      <c r="F1" s="131"/>
      <c r="G1" s="131"/>
      <c r="H1" s="131"/>
      <c r="I1" s="131"/>
      <c r="J1" s="131"/>
      <c r="K1" s="131"/>
      <c r="L1" s="131"/>
      <c r="M1" s="131"/>
      <c r="N1" s="131"/>
    </row>
    <row r="2" spans="2:26" s="1" customFormat="1" ht="20.25" customHeight="1" x14ac:dyDescent="0.25">
      <c r="B2" s="132" t="s">
        <v>43</v>
      </c>
      <c r="C2" s="132"/>
      <c r="D2" s="132"/>
      <c r="E2" s="132"/>
      <c r="F2" s="132"/>
      <c r="G2" s="132"/>
      <c r="H2" s="132"/>
      <c r="I2" s="132"/>
      <c r="J2" s="132"/>
      <c r="K2" s="132"/>
      <c r="L2" s="132"/>
      <c r="M2" s="132"/>
      <c r="N2" s="132"/>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15" t="s">
        <v>2</v>
      </c>
      <c r="C5" s="115"/>
      <c r="D5" s="116" t="s">
        <v>49</v>
      </c>
      <c r="E5" s="116"/>
      <c r="F5" s="116"/>
      <c r="G5" s="116"/>
      <c r="H5" s="15"/>
      <c r="I5" s="16"/>
      <c r="J5" s="16"/>
      <c r="K5" s="115" t="s">
        <v>3</v>
      </c>
      <c r="L5" s="115"/>
      <c r="M5" s="116" t="s">
        <v>40</v>
      </c>
      <c r="N5" s="116"/>
    </row>
    <row r="6" spans="2:26" s="1" customFormat="1" ht="20.25" customHeight="1" x14ac:dyDescent="0.25">
      <c r="B6" s="115" t="s">
        <v>4</v>
      </c>
      <c r="C6" s="115"/>
      <c r="D6" s="116" t="s">
        <v>44</v>
      </c>
      <c r="E6" s="116"/>
      <c r="F6" s="116"/>
      <c r="G6" s="116"/>
      <c r="H6" s="15"/>
      <c r="I6" s="12"/>
      <c r="J6" s="12"/>
      <c r="K6" s="115" t="s">
        <v>5</v>
      </c>
      <c r="L6" s="115"/>
      <c r="M6" s="116" t="s">
        <v>62</v>
      </c>
      <c r="N6" s="116"/>
    </row>
    <row r="7" spans="2:26" ht="21" customHeight="1" thickBot="1" x14ac:dyDescent="0.25">
      <c r="C7" s="18"/>
      <c r="D7" s="18"/>
      <c r="E7" s="18"/>
    </row>
    <row r="8" spans="2:26" s="23" customFormat="1" ht="15.75" customHeight="1" thickBot="1" x14ac:dyDescent="0.25">
      <c r="B8" s="117" t="s">
        <v>6</v>
      </c>
      <c r="C8" s="118"/>
      <c r="D8" s="118"/>
      <c r="E8" s="118"/>
      <c r="F8" s="118"/>
      <c r="G8" s="118"/>
      <c r="H8" s="24" t="s">
        <v>7</v>
      </c>
      <c r="I8" s="122" t="s">
        <v>8</v>
      </c>
      <c r="J8" s="122"/>
      <c r="K8" s="122"/>
      <c r="L8" s="123"/>
      <c r="M8" s="124" t="s">
        <v>9</v>
      </c>
      <c r="N8" s="123"/>
    </row>
    <row r="9" spans="2:26" s="23" customFormat="1" ht="15.75" customHeight="1" x14ac:dyDescent="0.25">
      <c r="B9" s="25"/>
      <c r="C9" s="26"/>
      <c r="D9" s="26"/>
      <c r="E9" s="26"/>
      <c r="F9" s="26"/>
      <c r="G9" s="27"/>
      <c r="H9" s="28"/>
      <c r="I9" s="29"/>
      <c r="J9" s="29"/>
      <c r="K9" s="29"/>
      <c r="L9" s="30"/>
      <c r="M9" s="31" t="s">
        <v>10</v>
      </c>
      <c r="N9" s="32" t="s">
        <v>11</v>
      </c>
    </row>
    <row r="10" spans="2:26" s="23" customFormat="1" ht="15.75" customHeight="1" thickBot="1" x14ac:dyDescent="0.3">
      <c r="B10" s="33" t="s">
        <v>12</v>
      </c>
      <c r="C10" s="34" t="s">
        <v>13</v>
      </c>
      <c r="D10" s="35" t="s">
        <v>38</v>
      </c>
      <c r="E10" s="34" t="s">
        <v>14</v>
      </c>
      <c r="F10" s="34" t="s">
        <v>15</v>
      </c>
      <c r="G10" s="34" t="s">
        <v>16</v>
      </c>
      <c r="H10" s="36" t="s">
        <v>17</v>
      </c>
      <c r="I10" s="37" t="s">
        <v>18</v>
      </c>
      <c r="J10" s="37" t="s">
        <v>19</v>
      </c>
      <c r="K10" s="37" t="s">
        <v>20</v>
      </c>
      <c r="L10" s="38" t="s">
        <v>21</v>
      </c>
      <c r="M10" s="39" t="s">
        <v>22</v>
      </c>
      <c r="N10" s="40" t="s">
        <v>23</v>
      </c>
    </row>
    <row r="11" spans="2:26" s="23" customFormat="1" ht="15.75" customHeight="1" x14ac:dyDescent="0.2">
      <c r="B11" s="41"/>
      <c r="C11" s="42"/>
      <c r="D11" s="42"/>
      <c r="E11" s="42"/>
      <c r="F11" s="42"/>
      <c r="G11" s="43"/>
      <c r="H11" s="44"/>
      <c r="I11" s="45"/>
      <c r="J11" s="46"/>
      <c r="K11" s="47"/>
      <c r="L11" s="48"/>
      <c r="M11" s="47"/>
      <c r="N11" s="50"/>
      <c r="R11" s="51"/>
    </row>
    <row r="12" spans="2:26" s="23" customFormat="1" ht="15.75" customHeight="1" x14ac:dyDescent="0.2">
      <c r="B12" s="52">
        <v>46023</v>
      </c>
      <c r="C12" s="53">
        <f>(SILVER!C12)+(PLATINUM!C12)</f>
        <v>10</v>
      </c>
      <c r="D12" s="53">
        <f>(SILVER!D12)+(PLATINUM!D12)</f>
        <v>5</v>
      </c>
      <c r="E12" s="53">
        <f>(SILVER!E12)+(PLATINUM!E12)</f>
        <v>6</v>
      </c>
      <c r="F12" s="53">
        <f>(SILVER!F12)+(PLATINUM!F12)</f>
        <v>3</v>
      </c>
      <c r="G12" s="53">
        <f>(SILVER!G12)+(PLATINUM!G12)</f>
        <v>24</v>
      </c>
      <c r="H12" s="55">
        <f>(SILVER!H12)+(PLATINUM!H12)</f>
        <v>148.80000000000001</v>
      </c>
      <c r="I12" s="56">
        <f>(SILVER!I12)+(PLATINUM!I12)</f>
        <v>1001.31</v>
      </c>
      <c r="J12" s="22">
        <f>(SILVER!J12)+(PLATINUM!J12)</f>
        <v>0</v>
      </c>
      <c r="K12" s="22">
        <f>(SILVER!K12)+(PLATINUM!K12)</f>
        <v>0</v>
      </c>
      <c r="L12" s="93">
        <f>(SILVER!L12)+(PLATINUM!L12)</f>
        <v>0</v>
      </c>
      <c r="M12" s="22">
        <f>(SILVER!M12)+(PLATINUM!M12)</f>
        <v>1001.31</v>
      </c>
      <c r="N12" s="57">
        <f>K12/I12</f>
        <v>0</v>
      </c>
      <c r="Q12" s="51"/>
      <c r="R12" s="51"/>
    </row>
    <row r="13" spans="2:26" s="23" customFormat="1" ht="15.75" customHeight="1" x14ac:dyDescent="0.2">
      <c r="B13" s="52">
        <v>46054</v>
      </c>
      <c r="C13" s="53">
        <f>(SILVER!C13)+(PLATINUM!C13)</f>
        <v>11</v>
      </c>
      <c r="D13" s="53">
        <f>(SILVER!D13)+(PLATINUM!D13)</f>
        <v>6</v>
      </c>
      <c r="E13" s="53">
        <f>(SILVER!E13)+(PLATINUM!E13)</f>
        <v>6</v>
      </c>
      <c r="F13" s="53">
        <f>(SILVER!F13)+(PLATINUM!F13)</f>
        <v>3</v>
      </c>
      <c r="G13" s="53">
        <f>(SILVER!G13)+(PLATINUM!G13)</f>
        <v>26</v>
      </c>
      <c r="H13" s="55">
        <f>(SILVER!H13)+(PLATINUM!H13)</f>
        <v>161.20000000000002</v>
      </c>
      <c r="I13" s="56">
        <f>(SILVER!I13)+(PLATINUM!I13)</f>
        <v>1058.5600000000002</v>
      </c>
      <c r="J13" s="22">
        <f>(SILVER!J13)+(PLATINUM!J13)</f>
        <v>0</v>
      </c>
      <c r="K13" s="22">
        <f>(SILVER!K13)+(PLATINUM!K13)</f>
        <v>0</v>
      </c>
      <c r="L13" s="93">
        <f>(SILVER!L13)+(PLATINUM!L13)</f>
        <v>0</v>
      </c>
      <c r="M13" s="22">
        <f>(SILVER!M13)+(PLATINUM!M13)</f>
        <v>1058.5600000000002</v>
      </c>
      <c r="N13" s="57">
        <f t="shared" ref="N13:N17" si="0">K13/I13</f>
        <v>0</v>
      </c>
      <c r="Q13" s="58"/>
      <c r="R13" s="51"/>
    </row>
    <row r="14" spans="2:26" s="23" customFormat="1" ht="15.75" customHeight="1" x14ac:dyDescent="0.2">
      <c r="B14" s="52">
        <v>46082</v>
      </c>
      <c r="C14" s="53">
        <f>(SILVER!C14)+(PLATINUM!C14)</f>
        <v>11</v>
      </c>
      <c r="D14" s="53">
        <f>(SILVER!D14)+(PLATINUM!D14)</f>
        <v>6</v>
      </c>
      <c r="E14" s="53">
        <f>(SILVER!E14)+(PLATINUM!E14)</f>
        <v>6</v>
      </c>
      <c r="F14" s="53">
        <f>(SILVER!F14)+(PLATINUM!F14)</f>
        <v>3</v>
      </c>
      <c r="G14" s="53">
        <f>(SILVER!G14)+(PLATINUM!G14)</f>
        <v>26</v>
      </c>
      <c r="H14" s="55">
        <f>(SILVER!H14)+(PLATINUM!H14)</f>
        <v>161.20000000000002</v>
      </c>
      <c r="I14" s="56">
        <f>(SILVER!I14)+(PLATINUM!I14)</f>
        <v>1058.5600000000002</v>
      </c>
      <c r="J14" s="22">
        <f>(SILVER!J14)+(PLATINUM!J14)</f>
        <v>2430.6999999999998</v>
      </c>
      <c r="K14" s="22">
        <f>(SILVER!K14)+(PLATINUM!K14)</f>
        <v>1334.9</v>
      </c>
      <c r="L14" s="93">
        <f>(SILVER!L14)+(PLATINUM!L14)</f>
        <v>6</v>
      </c>
      <c r="M14" s="22">
        <f>(SILVER!M14)+(PLATINUM!M14)</f>
        <v>-276.34000000000003</v>
      </c>
      <c r="N14" s="57">
        <f t="shared" si="0"/>
        <v>1.2610527509068923</v>
      </c>
      <c r="Q14" s="58"/>
      <c r="R14" s="51"/>
    </row>
    <row r="15" spans="2:26" s="23" customFormat="1" ht="15.75" customHeight="1" x14ac:dyDescent="0.2">
      <c r="B15" s="52">
        <v>46113</v>
      </c>
      <c r="C15" s="53">
        <f>(SILVER!C15)+(PLATINUM!C15)</f>
        <v>11</v>
      </c>
      <c r="D15" s="53">
        <f>(SILVER!D15)+(PLATINUM!D15)</f>
        <v>6</v>
      </c>
      <c r="E15" s="53">
        <f>(SILVER!E15)+(PLATINUM!E15)</f>
        <v>6</v>
      </c>
      <c r="F15" s="53">
        <f>(SILVER!F15)+(PLATINUM!F15)</f>
        <v>3</v>
      </c>
      <c r="G15" s="53">
        <f>(SILVER!G15)+(PLATINUM!G15)</f>
        <v>26</v>
      </c>
      <c r="H15" s="55">
        <f>(SILVER!H15)+(PLATINUM!H15)</f>
        <v>161.20000000000002</v>
      </c>
      <c r="I15" s="56">
        <f>(SILVER!I15)+(PLATINUM!I15)</f>
        <v>1058.5600000000002</v>
      </c>
      <c r="J15" s="22">
        <f>(SILVER!J15)+(PLATINUM!J15)</f>
        <v>558</v>
      </c>
      <c r="K15" s="22">
        <f>(SILVER!K15)+(PLATINUM!K15)</f>
        <v>0</v>
      </c>
      <c r="L15" s="93">
        <f>(SILVER!L15)+(PLATINUM!L15)</f>
        <v>2</v>
      </c>
      <c r="M15" s="22">
        <f>(SILVER!M15)+(PLATINUM!M15)</f>
        <v>1058.5600000000002</v>
      </c>
      <c r="N15" s="57">
        <f t="shared" si="0"/>
        <v>0</v>
      </c>
      <c r="Q15" s="58"/>
      <c r="R15" s="51"/>
    </row>
    <row r="16" spans="2:26" s="23" customFormat="1" ht="15.75" customHeight="1" x14ac:dyDescent="0.2">
      <c r="B16" s="52">
        <v>46143</v>
      </c>
      <c r="C16" s="53">
        <f>(SILVER!C16)+(PLATINUM!C16)</f>
        <v>12</v>
      </c>
      <c r="D16" s="53">
        <f>(SILVER!D16)+(PLATINUM!D16)</f>
        <v>6</v>
      </c>
      <c r="E16" s="53">
        <f>(SILVER!E16)+(PLATINUM!E16)</f>
        <v>5</v>
      </c>
      <c r="F16" s="53">
        <f>(SILVER!F16)+(PLATINUM!F16)</f>
        <v>3</v>
      </c>
      <c r="G16" s="53">
        <f>(SILVER!G16)+(PLATINUM!G16)</f>
        <v>26</v>
      </c>
      <c r="H16" s="55">
        <f>(SILVER!H16)+(PLATINUM!H16)</f>
        <v>161.20000000000002</v>
      </c>
      <c r="I16" s="56">
        <f>(SILVER!I16)+(PLATINUM!I16)</f>
        <v>1030.96</v>
      </c>
      <c r="J16" s="22">
        <f>(SILVER!J16)+(PLATINUM!J16)</f>
        <v>423</v>
      </c>
      <c r="K16" s="22">
        <f>(SILVER!K16)+(PLATINUM!K16)</f>
        <v>0</v>
      </c>
      <c r="L16" s="93">
        <v>1</v>
      </c>
      <c r="M16" s="22">
        <f>(SILVER!M16)+(PLATINUM!M16)</f>
        <v>1030.96</v>
      </c>
      <c r="N16" s="57">
        <f t="shared" si="0"/>
        <v>0</v>
      </c>
      <c r="Q16" s="58"/>
      <c r="R16" s="51"/>
    </row>
    <row r="17" spans="2:18" s="23" customFormat="1" ht="15.75" customHeight="1" x14ac:dyDescent="0.2">
      <c r="B17" s="52">
        <v>46174</v>
      </c>
      <c r="C17" s="53">
        <f>(SILVER!C17)+(PLATINUM!C17)</f>
        <v>12</v>
      </c>
      <c r="D17" s="53">
        <f>(SILVER!D17)+(PLATINUM!D17)</f>
        <v>6</v>
      </c>
      <c r="E17" s="53">
        <f>(SILVER!E17)+(PLATINUM!E17)</f>
        <v>5</v>
      </c>
      <c r="F17" s="53">
        <f>(SILVER!F17)+(PLATINUM!F17)</f>
        <v>3</v>
      </c>
      <c r="G17" s="53">
        <f>(SILVER!G17)+(PLATINUM!G17)</f>
        <v>26</v>
      </c>
      <c r="H17" s="55">
        <f>(SILVER!H17)+(PLATINUM!H17)</f>
        <v>161.20000000000002</v>
      </c>
      <c r="I17" s="56">
        <f>(SILVER!I17)+(PLATINUM!I17)</f>
        <v>1030.96</v>
      </c>
      <c r="J17" s="22">
        <f>(SILVER!J17)+(PLATINUM!J17)</f>
        <v>348</v>
      </c>
      <c r="K17" s="22">
        <f>(SILVER!K17)+(PLATINUM!K17)</f>
        <v>224</v>
      </c>
      <c r="L17" s="93"/>
      <c r="M17" s="22">
        <f>(SILVER!M17)+(PLATINUM!M17)</f>
        <v>806.95999999999992</v>
      </c>
      <c r="N17" s="57">
        <f t="shared" si="0"/>
        <v>0.21727322107550243</v>
      </c>
      <c r="Q17" s="58"/>
      <c r="R17" s="51"/>
    </row>
    <row r="18" spans="2:18" s="23" customFormat="1" ht="15.75" customHeight="1" x14ac:dyDescent="0.2">
      <c r="B18" s="52">
        <v>46204</v>
      </c>
      <c r="C18" s="53">
        <f>(SILVER!C18)+(PLATINUM!C18)</f>
        <v>0</v>
      </c>
      <c r="D18" s="53">
        <f>(SILVER!D18)+(PLATINUM!D18)</f>
        <v>0</v>
      </c>
      <c r="E18" s="53">
        <f>(SILVER!E18)+(PLATINUM!E18)</f>
        <v>0</v>
      </c>
      <c r="F18" s="53">
        <f>(SILVER!F18)+(PLATINUM!F18)</f>
        <v>0</v>
      </c>
      <c r="G18" s="53">
        <f>(SILVER!G18)+(PLATINUM!G18)</f>
        <v>0</v>
      </c>
      <c r="H18" s="55">
        <f>(SILVER!H18)+(PLATINUM!H18)</f>
        <v>0</v>
      </c>
      <c r="I18" s="56">
        <f>(SILVER!I18)+(PLATINUM!I18)</f>
        <v>0</v>
      </c>
      <c r="J18" s="22">
        <f>(SILVER!J18)+(PLATINUM!J18)</f>
        <v>0</v>
      </c>
      <c r="K18" s="22">
        <f>(SILVER!K18)+(PLATINUM!K18)</f>
        <v>0</v>
      </c>
      <c r="L18" s="93"/>
      <c r="M18" s="22">
        <f>(SILVER!M18)+(PLATINUM!M18)</f>
        <v>0</v>
      </c>
      <c r="N18" s="57"/>
      <c r="Q18" s="58"/>
      <c r="R18" s="51"/>
    </row>
    <row r="19" spans="2:18" s="23" customFormat="1" ht="15.75" customHeight="1" x14ac:dyDescent="0.2">
      <c r="B19" s="52">
        <v>46235</v>
      </c>
      <c r="C19" s="53">
        <f>(SILVER!C19)+(PLATINUM!C19)</f>
        <v>0</v>
      </c>
      <c r="D19" s="53">
        <f>(SILVER!D19)+(PLATINUM!D19)</f>
        <v>0</v>
      </c>
      <c r="E19" s="53">
        <f>(SILVER!E19)+(PLATINUM!E19)</f>
        <v>0</v>
      </c>
      <c r="F19" s="53">
        <f>(SILVER!F19)+(PLATINUM!F19)</f>
        <v>0</v>
      </c>
      <c r="G19" s="53">
        <f>(SILVER!G19)+(PLATINUM!G19)</f>
        <v>0</v>
      </c>
      <c r="H19" s="55">
        <f>(SILVER!H19)+(PLATINUM!H19)</f>
        <v>0</v>
      </c>
      <c r="I19" s="56">
        <f>(SILVER!I19)+(PLATINUM!I19)</f>
        <v>0</v>
      </c>
      <c r="J19" s="22">
        <f>(SILVER!J19)+(PLATINUM!J19)</f>
        <v>0</v>
      </c>
      <c r="K19" s="22">
        <f>(SILVER!K19)+(PLATINUM!K19)</f>
        <v>0</v>
      </c>
      <c r="L19" s="93"/>
      <c r="M19" s="22">
        <f>(SILVER!M19)+(PLATINUM!M19)</f>
        <v>0</v>
      </c>
      <c r="N19" s="57"/>
      <c r="Q19" s="58"/>
      <c r="R19" s="51"/>
    </row>
    <row r="20" spans="2:18" s="23" customFormat="1" ht="15.75" customHeight="1" x14ac:dyDescent="0.2">
      <c r="B20" s="52">
        <v>46266</v>
      </c>
      <c r="C20" s="53">
        <f>(SILVER!C20)+(PLATINUM!C20)</f>
        <v>0</v>
      </c>
      <c r="D20" s="53">
        <f>(SILVER!D20)+(PLATINUM!D20)</f>
        <v>0</v>
      </c>
      <c r="E20" s="53">
        <f>(SILVER!E20)+(PLATINUM!E20)</f>
        <v>0</v>
      </c>
      <c r="F20" s="53">
        <f>(SILVER!F20)+(PLATINUM!F20)</f>
        <v>0</v>
      </c>
      <c r="G20" s="53">
        <f>(SILVER!G20)+(PLATINUM!G20)</f>
        <v>0</v>
      </c>
      <c r="H20" s="55">
        <f>(SILVER!H20)+(PLATINUM!H20)</f>
        <v>0</v>
      </c>
      <c r="I20" s="56">
        <f>(SILVER!I20)+(PLATINUM!I20)</f>
        <v>0</v>
      </c>
      <c r="J20" s="22">
        <f>(SILVER!J20)+(PLATINUM!J20)</f>
        <v>0</v>
      </c>
      <c r="K20" s="22">
        <f>(SILVER!K20)+(PLATINUM!K20)</f>
        <v>0</v>
      </c>
      <c r="L20" s="93"/>
      <c r="M20" s="22">
        <f>(SILVER!M20)+(PLATINUM!M20)</f>
        <v>0</v>
      </c>
      <c r="N20" s="57"/>
      <c r="Q20" s="58"/>
      <c r="R20" s="51"/>
    </row>
    <row r="21" spans="2:18" s="23" customFormat="1" ht="15.75" customHeight="1" x14ac:dyDescent="0.2">
      <c r="B21" s="52">
        <v>46296</v>
      </c>
      <c r="C21" s="53">
        <f>(SILVER!C21)+(PLATINUM!C21)</f>
        <v>0</v>
      </c>
      <c r="D21" s="53">
        <f>(SILVER!D21)+(PLATINUM!D21)</f>
        <v>0</v>
      </c>
      <c r="E21" s="53">
        <f>(SILVER!E21)+(PLATINUM!E21)</f>
        <v>0</v>
      </c>
      <c r="F21" s="53">
        <f>(SILVER!F21)+(PLATINUM!F21)</f>
        <v>0</v>
      </c>
      <c r="G21" s="53">
        <f>(SILVER!G21)+(PLATINUM!G21)</f>
        <v>0</v>
      </c>
      <c r="H21" s="55">
        <f>(SILVER!H21)+(PLATINUM!H21)</f>
        <v>0</v>
      </c>
      <c r="I21" s="56">
        <f>(SILVER!I21)+(PLATINUM!I21)</f>
        <v>0</v>
      </c>
      <c r="J21" s="22">
        <f>(SILVER!J21)+(PLATINUM!J21)</f>
        <v>0</v>
      </c>
      <c r="K21" s="22">
        <f>(SILVER!K21)+(PLATINUM!K21)</f>
        <v>0</v>
      </c>
      <c r="L21" s="93"/>
      <c r="M21" s="22">
        <f>(SILVER!M21)+(PLATINUM!M21)</f>
        <v>0</v>
      </c>
      <c r="N21" s="57"/>
      <c r="Q21" s="58"/>
      <c r="R21" s="51"/>
    </row>
    <row r="22" spans="2:18" s="23" customFormat="1" ht="15.75" customHeight="1" x14ac:dyDescent="0.2">
      <c r="B22" s="52">
        <v>46327</v>
      </c>
      <c r="C22" s="53">
        <f>(SILVER!C22)+(PLATINUM!C22)</f>
        <v>0</v>
      </c>
      <c r="D22" s="53">
        <f>(SILVER!D22)+(PLATINUM!D22)</f>
        <v>0</v>
      </c>
      <c r="E22" s="53">
        <f>(SILVER!E22)+(PLATINUM!E22)</f>
        <v>0</v>
      </c>
      <c r="F22" s="53">
        <f>(SILVER!F22)+(PLATINUM!F22)</f>
        <v>0</v>
      </c>
      <c r="G22" s="53">
        <f>(SILVER!G22)+(PLATINUM!G22)</f>
        <v>0</v>
      </c>
      <c r="H22" s="55">
        <f>(SILVER!H22)+(PLATINUM!H22)</f>
        <v>0</v>
      </c>
      <c r="I22" s="56">
        <f>(SILVER!I22)+(PLATINUM!I22)</f>
        <v>0</v>
      </c>
      <c r="J22" s="22">
        <f>(SILVER!J22)+(PLATINUM!J22)</f>
        <v>0</v>
      </c>
      <c r="K22" s="22">
        <f>(SILVER!K22)+(PLATINUM!K22)</f>
        <v>0</v>
      </c>
      <c r="L22" s="93"/>
      <c r="M22" s="22">
        <f>(SILVER!M22)+(PLATINUM!M22)</f>
        <v>0</v>
      </c>
      <c r="N22" s="57"/>
      <c r="Q22" s="58"/>
      <c r="R22" s="51"/>
    </row>
    <row r="23" spans="2:18" s="23" customFormat="1" ht="15.75" customHeight="1" x14ac:dyDescent="0.2">
      <c r="B23" s="52">
        <v>46357</v>
      </c>
      <c r="C23" s="53">
        <f>(SILVER!C23)+(PLATINUM!C23)</f>
        <v>0</v>
      </c>
      <c r="D23" s="53">
        <f>(SILVER!D23)+(PLATINUM!D23)</f>
        <v>0</v>
      </c>
      <c r="E23" s="53">
        <f>(SILVER!E23)+(PLATINUM!E23)</f>
        <v>0</v>
      </c>
      <c r="F23" s="53">
        <f>(SILVER!F23)+(PLATINUM!F23)</f>
        <v>0</v>
      </c>
      <c r="G23" s="53">
        <f>(SILVER!G23)+(PLATINUM!G23)</f>
        <v>0</v>
      </c>
      <c r="H23" s="55">
        <f>(SILVER!H23)+(PLATINUM!H23)</f>
        <v>0</v>
      </c>
      <c r="I23" s="56">
        <f>(SILVER!I23)+(PLATINUM!I23)</f>
        <v>0</v>
      </c>
      <c r="J23" s="22">
        <f>(SILVER!J23)+(PLATINUM!J23)</f>
        <v>0</v>
      </c>
      <c r="K23" s="22">
        <f>(SILVER!K23)+(PLATINUM!K23)</f>
        <v>0</v>
      </c>
      <c r="L23" s="93"/>
      <c r="M23" s="22">
        <f>(SILVER!M23)+(PLATINUM!M23)</f>
        <v>0</v>
      </c>
      <c r="N23" s="57"/>
      <c r="Q23" s="58"/>
      <c r="R23" s="51"/>
    </row>
    <row r="24" spans="2:18" s="23" customFormat="1" ht="15.75" customHeight="1" thickBot="1" x14ac:dyDescent="0.25">
      <c r="B24" s="59"/>
      <c r="C24" s="60"/>
      <c r="D24" s="60"/>
      <c r="E24" s="60"/>
      <c r="F24" s="60"/>
      <c r="G24" s="61"/>
      <c r="H24" s="62"/>
      <c r="I24" s="63"/>
      <c r="J24" s="64"/>
      <c r="K24" s="65"/>
      <c r="L24" s="66"/>
      <c r="M24" s="65"/>
      <c r="N24" s="68"/>
    </row>
    <row r="25" spans="2:18" s="76" customFormat="1" ht="15.75" customHeight="1" thickBot="1" x14ac:dyDescent="0.3">
      <c r="B25" s="69" t="s">
        <v>24</v>
      </c>
      <c r="C25" s="70">
        <f>AVERAGEIF(C12:C23,"&gt;0")</f>
        <v>11.166666666666666</v>
      </c>
      <c r="D25" s="70">
        <f>AVERAGEIF(D12:D23,"&gt;0")</f>
        <v>5.833333333333333</v>
      </c>
      <c r="E25" s="70">
        <f>AVERAGEIF(E12:E23,"&gt;0")</f>
        <v>5.666666666666667</v>
      </c>
      <c r="F25" s="70">
        <f>AVERAGEIF(F12:F23,"&gt;0")</f>
        <v>3</v>
      </c>
      <c r="G25" s="70">
        <f>AVERAGEIF(G12:G23,"&gt;0")</f>
        <v>25.666666666666668</v>
      </c>
      <c r="H25" s="71">
        <f>SUM(H11:H23)</f>
        <v>954.80000000000018</v>
      </c>
      <c r="I25" s="71">
        <f>SUM(I11:I23)</f>
        <v>6238.9100000000008</v>
      </c>
      <c r="J25" s="72">
        <f>SUM(J11:J23)</f>
        <v>3759.7</v>
      </c>
      <c r="K25" s="73">
        <f>SUM(K11:K23)</f>
        <v>1558.9</v>
      </c>
      <c r="L25" s="74">
        <f>SUM(L12:L23)</f>
        <v>9</v>
      </c>
      <c r="M25" s="71">
        <f>SUM(M12:M23)</f>
        <v>4680.01</v>
      </c>
      <c r="N25" s="75">
        <f>K25/I25</f>
        <v>0.2498673646518382</v>
      </c>
    </row>
    <row r="26" spans="2:18" s="23" customFormat="1" ht="15.75" customHeight="1" x14ac:dyDescent="0.2">
      <c r="J26" s="77"/>
      <c r="L26" s="78"/>
    </row>
    <row r="27" spans="2:18" s="23" customFormat="1" ht="15.75" customHeight="1" x14ac:dyDescent="0.25">
      <c r="H27" s="79"/>
      <c r="J27" s="128" t="s">
        <v>26</v>
      </c>
      <c r="K27" s="129"/>
      <c r="L27" s="129"/>
      <c r="M27" s="129"/>
      <c r="N27" s="130"/>
    </row>
    <row r="28" spans="2:18" s="23" customFormat="1" ht="15.75" customHeight="1" x14ac:dyDescent="0.2">
      <c r="H28" s="77"/>
      <c r="J28" s="125" t="s">
        <v>29</v>
      </c>
      <c r="K28" s="126"/>
      <c r="L28" s="126"/>
      <c r="M28" s="127"/>
      <c r="N28" s="82">
        <f>J25/L25</f>
        <v>417.74444444444441</v>
      </c>
    </row>
    <row r="29" spans="2:18" s="23" customFormat="1" ht="15.75" customHeight="1" x14ac:dyDescent="0.2">
      <c r="H29" s="85"/>
      <c r="J29" s="125" t="s">
        <v>31</v>
      </c>
      <c r="K29" s="126"/>
      <c r="L29" s="126"/>
      <c r="M29" s="127"/>
      <c r="N29" s="82">
        <f>K25/L25</f>
        <v>173.21111111111111</v>
      </c>
    </row>
    <row r="30" spans="2:18" s="23" customFormat="1" ht="15.75" customHeight="1" x14ac:dyDescent="0.2">
      <c r="H30" s="85"/>
      <c r="J30" s="125" t="s">
        <v>32</v>
      </c>
      <c r="K30" s="126"/>
      <c r="L30" s="126"/>
      <c r="M30" s="127"/>
      <c r="N30" s="87">
        <f>((L25/COUNTIF(G12:G23,"&gt;0"))*12)/G25</f>
        <v>0.70129870129870131</v>
      </c>
    </row>
    <row r="31" spans="2:18" s="23" customFormat="1" ht="15.75" customHeight="1" x14ac:dyDescent="0.2">
      <c r="H31" s="85"/>
      <c r="J31" s="125" t="s">
        <v>34</v>
      </c>
      <c r="K31" s="126"/>
      <c r="L31" s="126"/>
      <c r="M31" s="127"/>
      <c r="N31" s="88">
        <f>K25/J25</f>
        <v>0.41463414634146345</v>
      </c>
    </row>
    <row r="32" spans="2:18" s="23" customFormat="1" ht="15.75" customHeight="1" x14ac:dyDescent="0.2">
      <c r="H32" s="85"/>
      <c r="J32" s="125" t="s">
        <v>36</v>
      </c>
      <c r="K32" s="126"/>
      <c r="L32" s="126"/>
      <c r="M32" s="127"/>
      <c r="N32" s="82">
        <f>K25/G25/(COUNTIF(G12:G23,"&gt;0"))</f>
        <v>10.122727272727273</v>
      </c>
    </row>
    <row r="33" spans="2:14" s="23" customFormat="1" ht="15.75" customHeight="1" x14ac:dyDescent="0.2">
      <c r="H33" s="85"/>
      <c r="J33" s="90"/>
      <c r="K33" s="90"/>
      <c r="L33" s="90"/>
      <c r="M33" s="90"/>
      <c r="N33" s="91"/>
    </row>
    <row r="34" spans="2:14" s="23" customFormat="1" ht="15.75" customHeight="1" x14ac:dyDescent="0.2">
      <c r="H34" s="94"/>
      <c r="J34" s="90"/>
      <c r="K34" s="90"/>
      <c r="L34" s="90"/>
      <c r="M34" s="90"/>
      <c r="N34" s="91"/>
    </row>
    <row r="35" spans="2:14" s="23" customFormat="1" ht="15.75" customHeight="1" x14ac:dyDescent="0.25">
      <c r="J35" s="109" t="s">
        <v>41</v>
      </c>
      <c r="K35" s="110"/>
      <c r="L35" s="110"/>
      <c r="M35" s="110"/>
      <c r="N35" s="111"/>
    </row>
    <row r="36" spans="2:14" s="23" customFormat="1" ht="15.75" customHeight="1" x14ac:dyDescent="0.25">
      <c r="H36" s="79"/>
      <c r="J36" s="112" t="s">
        <v>29</v>
      </c>
      <c r="K36" s="113"/>
      <c r="L36" s="113"/>
      <c r="M36" s="114"/>
      <c r="N36" s="95">
        <v>534.05999999999995</v>
      </c>
    </row>
    <row r="37" spans="2:14" s="23" customFormat="1" ht="15.75" customHeight="1" x14ac:dyDescent="0.2">
      <c r="H37" s="92"/>
      <c r="J37" s="112" t="s">
        <v>31</v>
      </c>
      <c r="K37" s="113"/>
      <c r="L37" s="113"/>
      <c r="M37" s="114"/>
      <c r="N37" s="95">
        <v>328.09</v>
      </c>
    </row>
    <row r="38" spans="2:14" s="23" customFormat="1" ht="15.75" customHeight="1" x14ac:dyDescent="0.2">
      <c r="H38" s="92"/>
      <c r="J38" s="112" t="s">
        <v>32</v>
      </c>
      <c r="K38" s="113"/>
      <c r="L38" s="113"/>
      <c r="M38" s="114"/>
      <c r="N38" s="96">
        <v>1.24</v>
      </c>
    </row>
    <row r="39" spans="2:14" s="23" customFormat="1" ht="15.75" customHeight="1" x14ac:dyDescent="0.2">
      <c r="H39" s="92"/>
      <c r="J39" s="112" t="s">
        <v>34</v>
      </c>
      <c r="K39" s="113"/>
      <c r="L39" s="113"/>
      <c r="M39" s="114"/>
      <c r="N39" s="97">
        <v>0.61429999999999996</v>
      </c>
    </row>
    <row r="40" spans="2:14" s="23" customFormat="1" ht="15.75" customHeight="1" x14ac:dyDescent="0.2">
      <c r="H40" s="92"/>
      <c r="J40" s="112" t="s">
        <v>36</v>
      </c>
      <c r="K40" s="113"/>
      <c r="L40" s="113"/>
      <c r="M40" s="114"/>
      <c r="N40" s="95">
        <v>33.79</v>
      </c>
    </row>
    <row r="41" spans="2:14" s="23" customFormat="1" ht="15.75" customHeight="1" x14ac:dyDescent="0.25">
      <c r="H41" s="92"/>
      <c r="J41" s="119" t="s">
        <v>42</v>
      </c>
      <c r="K41" s="120"/>
      <c r="L41" s="120"/>
      <c r="M41" s="121"/>
      <c r="N41" s="95">
        <v>4680.05</v>
      </c>
    </row>
    <row r="42" spans="2:14" s="23" customFormat="1" ht="10.15" customHeight="1" x14ac:dyDescent="0.2">
      <c r="J42" s="77"/>
      <c r="L42" s="78"/>
    </row>
    <row r="43" spans="2:14" s="23" customFormat="1" ht="10.15" customHeight="1" x14ac:dyDescent="0.2">
      <c r="B43" s="100" t="s">
        <v>46</v>
      </c>
      <c r="C43" s="101"/>
      <c r="D43" s="101"/>
      <c r="E43" s="101"/>
      <c r="F43" s="101"/>
      <c r="G43" s="101"/>
      <c r="H43" s="101"/>
      <c r="I43" s="101"/>
      <c r="J43" s="101"/>
      <c r="K43" s="101"/>
      <c r="L43" s="101"/>
      <c r="M43" s="101"/>
      <c r="N43" s="102"/>
    </row>
    <row r="44" spans="2:14" s="23" customFormat="1" ht="10.15" customHeight="1" x14ac:dyDescent="0.2">
      <c r="B44" s="103"/>
      <c r="C44" s="104"/>
      <c r="D44" s="104"/>
      <c r="E44" s="104"/>
      <c r="F44" s="104"/>
      <c r="G44" s="104"/>
      <c r="H44" s="104"/>
      <c r="I44" s="104"/>
      <c r="J44" s="104"/>
      <c r="K44" s="104"/>
      <c r="L44" s="104"/>
      <c r="M44" s="104"/>
      <c r="N44" s="105"/>
    </row>
    <row r="45" spans="2:14" s="23" customFormat="1" ht="10.15" customHeight="1" x14ac:dyDescent="0.2">
      <c r="B45" s="103"/>
      <c r="C45" s="104"/>
      <c r="D45" s="104"/>
      <c r="E45" s="104"/>
      <c r="F45" s="104"/>
      <c r="G45" s="104"/>
      <c r="H45" s="104"/>
      <c r="I45" s="104"/>
      <c r="J45" s="104"/>
      <c r="K45" s="104"/>
      <c r="L45" s="104"/>
      <c r="M45" s="104"/>
      <c r="N45" s="105"/>
    </row>
    <row r="46" spans="2:14" s="23" customFormat="1" ht="10.15" customHeight="1" x14ac:dyDescent="0.2">
      <c r="B46" s="103"/>
      <c r="C46" s="104"/>
      <c r="D46" s="104"/>
      <c r="E46" s="104"/>
      <c r="F46" s="104"/>
      <c r="G46" s="104"/>
      <c r="H46" s="104"/>
      <c r="I46" s="104"/>
      <c r="J46" s="104"/>
      <c r="K46" s="104"/>
      <c r="L46" s="104"/>
      <c r="M46" s="104"/>
      <c r="N46" s="105"/>
    </row>
    <row r="47" spans="2:14" s="23" customFormat="1" ht="10.15" customHeight="1" x14ac:dyDescent="0.2">
      <c r="B47" s="103"/>
      <c r="C47" s="104"/>
      <c r="D47" s="104"/>
      <c r="E47" s="104"/>
      <c r="F47" s="104"/>
      <c r="G47" s="104"/>
      <c r="H47" s="104"/>
      <c r="I47" s="104"/>
      <c r="J47" s="104"/>
      <c r="K47" s="104"/>
      <c r="L47" s="104"/>
      <c r="M47" s="104"/>
      <c r="N47" s="105"/>
    </row>
    <row r="48" spans="2:14" s="23" customFormat="1" ht="10.15" customHeight="1" x14ac:dyDescent="0.2">
      <c r="B48" s="103"/>
      <c r="C48" s="104"/>
      <c r="D48" s="104"/>
      <c r="E48" s="104"/>
      <c r="F48" s="104"/>
      <c r="G48" s="104"/>
      <c r="H48" s="104"/>
      <c r="I48" s="104"/>
      <c r="J48" s="104"/>
      <c r="K48" s="104"/>
      <c r="L48" s="104"/>
      <c r="M48" s="104"/>
      <c r="N48" s="105"/>
    </row>
    <row r="49" spans="2:14" s="23" customFormat="1" ht="10.15" customHeight="1" x14ac:dyDescent="0.2">
      <c r="B49" s="106"/>
      <c r="C49" s="107"/>
      <c r="D49" s="107"/>
      <c r="E49" s="107"/>
      <c r="F49" s="107"/>
      <c r="G49" s="107"/>
      <c r="H49" s="107"/>
      <c r="I49" s="107"/>
      <c r="J49" s="107"/>
      <c r="K49" s="107"/>
      <c r="L49" s="107"/>
      <c r="M49" s="107"/>
      <c r="N49" s="108"/>
    </row>
    <row r="50" spans="2:14" s="23" customFormat="1" ht="10.15" customHeight="1" x14ac:dyDescent="0.2">
      <c r="J50" s="77"/>
      <c r="L50" s="78"/>
    </row>
  </sheetData>
  <mergeCells count="27">
    <mergeCell ref="B1:N1"/>
    <mergeCell ref="B2:N2"/>
    <mergeCell ref="B5:C5"/>
    <mergeCell ref="D5:G5"/>
    <mergeCell ref="K5:L5"/>
    <mergeCell ref="M5:N5"/>
    <mergeCell ref="B6:C6"/>
    <mergeCell ref="D6:G6"/>
    <mergeCell ref="B8:G8"/>
    <mergeCell ref="J41:M41"/>
    <mergeCell ref="I8:L8"/>
    <mergeCell ref="M8:N8"/>
    <mergeCell ref="J39:M39"/>
    <mergeCell ref="K6:L6"/>
    <mergeCell ref="M6:N6"/>
    <mergeCell ref="J32:M32"/>
    <mergeCell ref="J27:N27"/>
    <mergeCell ref="J28:M28"/>
    <mergeCell ref="J29:M29"/>
    <mergeCell ref="J30:M30"/>
    <mergeCell ref="J31:M31"/>
    <mergeCell ref="B43:N49"/>
    <mergeCell ref="J35:N35"/>
    <mergeCell ref="J36:M36"/>
    <mergeCell ref="J37:M37"/>
    <mergeCell ref="J38:M38"/>
    <mergeCell ref="J40:M40"/>
  </mergeCells>
  <phoneticPr fontId="0" type="noConversion"/>
  <pageMargins left="0.7" right="0.7" top="0.75" bottom="0.75" header="0.3" footer="0.3"/>
  <pageSetup scale="6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2"/>
  <sheetViews>
    <sheetView workbookViewId="0">
      <selection activeCell="L18" sqref="L18"/>
    </sheetView>
  </sheetViews>
  <sheetFormatPr defaultColWidth="9.140625" defaultRowHeight="10.15" customHeight="1" x14ac:dyDescent="0.2"/>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1" t="str">
        <f>Summary!B1</f>
        <v>Windsor HR Services, Inc.</v>
      </c>
      <c r="C1" s="131"/>
      <c r="D1" s="131"/>
      <c r="E1" s="131"/>
      <c r="F1" s="131"/>
      <c r="G1" s="131"/>
      <c r="H1" s="131"/>
      <c r="I1" s="131"/>
      <c r="J1" s="131"/>
      <c r="K1" s="131"/>
      <c r="L1" s="131"/>
      <c r="M1" s="131"/>
      <c r="N1" s="131"/>
    </row>
    <row r="2" spans="2:26" s="1" customFormat="1" ht="20.25" customHeight="1" x14ac:dyDescent="0.25">
      <c r="B2" s="132" t="str">
        <f>Summary!B2</f>
        <v>Monthly Performance Report - Budgeted vs Actual Claims Paid</v>
      </c>
      <c r="C2" s="132"/>
      <c r="D2" s="132"/>
      <c r="E2" s="132"/>
      <c r="F2" s="132"/>
      <c r="G2" s="132"/>
      <c r="H2" s="132"/>
      <c r="I2" s="132"/>
      <c r="J2" s="132"/>
      <c r="K2" s="132"/>
      <c r="L2" s="132"/>
      <c r="M2" s="132"/>
      <c r="N2" s="132"/>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15" t="s">
        <v>2</v>
      </c>
      <c r="C5" s="115"/>
      <c r="D5" s="116" t="str">
        <f>Summary!D5</f>
        <v>S468</v>
      </c>
      <c r="E5" s="116"/>
      <c r="F5" s="116"/>
      <c r="G5" s="116"/>
      <c r="H5" s="15"/>
      <c r="I5" s="16"/>
      <c r="J5" s="16"/>
      <c r="K5" s="115" t="s">
        <v>3</v>
      </c>
      <c r="L5" s="115"/>
      <c r="M5" s="116" t="s">
        <v>50</v>
      </c>
      <c r="N5" s="116"/>
    </row>
    <row r="6" spans="2:26" s="1" customFormat="1" ht="20.25" customHeight="1" x14ac:dyDescent="0.25">
      <c r="B6" s="115" t="s">
        <v>4</v>
      </c>
      <c r="C6" s="115"/>
      <c r="D6" s="116" t="s">
        <v>44</v>
      </c>
      <c r="E6" s="116"/>
      <c r="F6" s="116"/>
      <c r="G6" s="116"/>
      <c r="H6" s="15"/>
      <c r="I6" s="12"/>
      <c r="J6" s="12"/>
      <c r="K6" s="115" t="s">
        <v>5</v>
      </c>
      <c r="L6" s="115"/>
      <c r="M6" s="116" t="s">
        <v>51</v>
      </c>
      <c r="N6" s="116"/>
    </row>
    <row r="7" spans="2:26" ht="21" customHeight="1" thickBot="1" x14ac:dyDescent="0.25">
      <c r="C7" s="18"/>
      <c r="D7" s="18"/>
      <c r="E7" s="18"/>
    </row>
    <row r="8" spans="2:26" s="23" customFormat="1" ht="15.75" customHeight="1" thickBot="1" x14ac:dyDescent="0.25">
      <c r="B8" s="117" t="s">
        <v>6</v>
      </c>
      <c r="C8" s="118"/>
      <c r="D8" s="118"/>
      <c r="E8" s="118"/>
      <c r="F8" s="118"/>
      <c r="G8" s="118"/>
      <c r="H8" s="24" t="s">
        <v>7</v>
      </c>
      <c r="I8" s="122" t="s">
        <v>8</v>
      </c>
      <c r="J8" s="122"/>
      <c r="K8" s="122"/>
      <c r="L8" s="123"/>
      <c r="M8" s="124" t="s">
        <v>9</v>
      </c>
      <c r="N8" s="123"/>
    </row>
    <row r="9" spans="2:26" s="23" customFormat="1" ht="15.75" customHeight="1" x14ac:dyDescent="0.25">
      <c r="B9" s="25"/>
      <c r="C9" s="26"/>
      <c r="D9" s="26"/>
      <c r="E9" s="26"/>
      <c r="F9" s="26"/>
      <c r="G9" s="27"/>
      <c r="H9" s="28"/>
      <c r="I9" s="29"/>
      <c r="J9" s="29"/>
      <c r="K9" s="29"/>
      <c r="L9" s="30"/>
      <c r="M9" s="31" t="s">
        <v>10</v>
      </c>
      <c r="N9" s="32" t="s">
        <v>11</v>
      </c>
    </row>
    <row r="10" spans="2:26" s="23" customFormat="1" ht="15.75" customHeight="1" thickBot="1" x14ac:dyDescent="0.3">
      <c r="B10" s="33" t="s">
        <v>12</v>
      </c>
      <c r="C10" s="34" t="s">
        <v>13</v>
      </c>
      <c r="D10" s="35" t="s">
        <v>45</v>
      </c>
      <c r="E10" s="34" t="s">
        <v>14</v>
      </c>
      <c r="F10" s="34" t="s">
        <v>15</v>
      </c>
      <c r="G10" s="34" t="s">
        <v>16</v>
      </c>
      <c r="H10" s="36" t="s">
        <v>17</v>
      </c>
      <c r="I10" s="37" t="s">
        <v>18</v>
      </c>
      <c r="J10" s="37" t="s">
        <v>19</v>
      </c>
      <c r="K10" s="37" t="s">
        <v>20</v>
      </c>
      <c r="L10" s="38" t="s">
        <v>21</v>
      </c>
      <c r="M10" s="39" t="s">
        <v>22</v>
      </c>
      <c r="N10" s="40" t="s">
        <v>23</v>
      </c>
    </row>
    <row r="11" spans="2:26" s="23" customFormat="1" ht="15.75" customHeight="1" x14ac:dyDescent="0.2">
      <c r="B11" s="41"/>
      <c r="C11" s="42"/>
      <c r="D11" s="42"/>
      <c r="E11" s="42"/>
      <c r="F11" s="42"/>
      <c r="G11" s="43"/>
      <c r="H11" s="44"/>
      <c r="I11" s="45"/>
      <c r="J11" s="46"/>
      <c r="K11" s="47"/>
      <c r="L11" s="48"/>
      <c r="M11" s="49"/>
      <c r="N11" s="50"/>
      <c r="R11" s="51"/>
    </row>
    <row r="12" spans="2:26" s="23" customFormat="1" ht="15.75" customHeight="1" x14ac:dyDescent="0.2">
      <c r="B12" s="52">
        <f>Summary!B12</f>
        <v>46023</v>
      </c>
      <c r="C12" s="53">
        <v>3</v>
      </c>
      <c r="D12" s="53">
        <v>1</v>
      </c>
      <c r="E12" s="53">
        <v>2</v>
      </c>
      <c r="F12" s="53">
        <v>1</v>
      </c>
      <c r="G12" s="54">
        <f>SUM(C12:F12)</f>
        <v>7</v>
      </c>
      <c r="H12" s="55">
        <f>(C12*$E$29)+(D12*$E$30)+(E12*$E$31)+(F12*$E$32)</f>
        <v>43.400000000000006</v>
      </c>
      <c r="I12" s="56">
        <f>(C12*$C$29)+(D12*$C$30)+(E12*$C$31)+(F12*$C$32)</f>
        <v>173.70999999999998</v>
      </c>
      <c r="J12" s="22">
        <v>0</v>
      </c>
      <c r="K12" s="22">
        <v>0</v>
      </c>
      <c r="L12" s="54">
        <v>0</v>
      </c>
      <c r="M12" s="56">
        <f>I12-K12</f>
        <v>173.70999999999998</v>
      </c>
      <c r="N12" s="57">
        <f>K12/I12</f>
        <v>0</v>
      </c>
      <c r="Q12" s="51"/>
      <c r="R12" s="51"/>
    </row>
    <row r="13" spans="2:26" s="23" customFormat="1" ht="15.75" customHeight="1" x14ac:dyDescent="0.2">
      <c r="B13" s="52">
        <f>Summary!B13</f>
        <v>46054</v>
      </c>
      <c r="C13" s="53">
        <v>3</v>
      </c>
      <c r="D13" s="53">
        <v>2</v>
      </c>
      <c r="E13" s="53">
        <v>2</v>
      </c>
      <c r="F13" s="53">
        <v>1</v>
      </c>
      <c r="G13" s="54">
        <f t="shared" ref="G13:G23" si="0">SUM(C13:F13)</f>
        <v>8</v>
      </c>
      <c r="H13" s="55">
        <f t="shared" ref="H13:H23" si="1">(C13*$E$29)+(D13*$E$30)+(E13*$E$31)+(F13*$E$32)</f>
        <v>49.6</v>
      </c>
      <c r="I13" s="56">
        <f t="shared" ref="I13:I23" si="2">(C13*$C$29)+(D13*$C$30)+(E13*$C$31)+(F13*$C$32)</f>
        <v>201.16</v>
      </c>
      <c r="J13" s="22">
        <v>0</v>
      </c>
      <c r="K13" s="22">
        <v>0</v>
      </c>
      <c r="L13" s="54">
        <v>0</v>
      </c>
      <c r="M13" s="56">
        <f t="shared" ref="M13:M23" si="3">I13-K13</f>
        <v>201.16</v>
      </c>
      <c r="N13" s="57">
        <f t="shared" ref="N13:N17" si="4">K13/I13</f>
        <v>0</v>
      </c>
      <c r="Q13" s="58"/>
      <c r="R13" s="51"/>
    </row>
    <row r="14" spans="2:26" s="23" customFormat="1" ht="15.75" customHeight="1" x14ac:dyDescent="0.2">
      <c r="B14" s="52">
        <f>Summary!B14</f>
        <v>46082</v>
      </c>
      <c r="C14" s="53">
        <v>3</v>
      </c>
      <c r="D14" s="53">
        <v>2</v>
      </c>
      <c r="E14" s="53">
        <v>2</v>
      </c>
      <c r="F14" s="53">
        <v>1</v>
      </c>
      <c r="G14" s="54">
        <f t="shared" si="0"/>
        <v>8</v>
      </c>
      <c r="H14" s="55">
        <f t="shared" si="1"/>
        <v>49.6</v>
      </c>
      <c r="I14" s="56">
        <f t="shared" si="2"/>
        <v>201.16</v>
      </c>
      <c r="J14" s="22">
        <v>323</v>
      </c>
      <c r="K14" s="22">
        <v>211.5</v>
      </c>
      <c r="L14" s="54">
        <v>1</v>
      </c>
      <c r="M14" s="56">
        <f t="shared" si="3"/>
        <v>-10.340000000000003</v>
      </c>
      <c r="N14" s="57">
        <f t="shared" si="4"/>
        <v>1.0514018691588785</v>
      </c>
      <c r="Q14" s="58"/>
      <c r="R14" s="51"/>
    </row>
    <row r="15" spans="2:26" s="23" customFormat="1" ht="15.75" customHeight="1" x14ac:dyDescent="0.2">
      <c r="B15" s="52">
        <f>Summary!B15</f>
        <v>46113</v>
      </c>
      <c r="C15" s="53">
        <v>3</v>
      </c>
      <c r="D15" s="53">
        <v>2</v>
      </c>
      <c r="E15" s="53">
        <v>2</v>
      </c>
      <c r="F15" s="53">
        <v>1</v>
      </c>
      <c r="G15" s="54">
        <f t="shared" si="0"/>
        <v>8</v>
      </c>
      <c r="H15" s="55">
        <f t="shared" si="1"/>
        <v>49.6</v>
      </c>
      <c r="I15" s="56">
        <f t="shared" si="2"/>
        <v>201.16</v>
      </c>
      <c r="J15" s="22">
        <v>0</v>
      </c>
      <c r="K15" s="22">
        <v>0</v>
      </c>
      <c r="L15" s="54">
        <v>0</v>
      </c>
      <c r="M15" s="56">
        <f t="shared" si="3"/>
        <v>201.16</v>
      </c>
      <c r="N15" s="57">
        <f t="shared" si="4"/>
        <v>0</v>
      </c>
      <c r="Q15" s="58"/>
      <c r="R15" s="51"/>
    </row>
    <row r="16" spans="2:26" s="23" customFormat="1" ht="15.75" customHeight="1" x14ac:dyDescent="0.2">
      <c r="B16" s="52">
        <f>Summary!B16</f>
        <v>46143</v>
      </c>
      <c r="C16" s="53">
        <v>3</v>
      </c>
      <c r="D16" s="53">
        <v>2</v>
      </c>
      <c r="E16" s="53">
        <v>2</v>
      </c>
      <c r="F16" s="53">
        <v>1</v>
      </c>
      <c r="G16" s="54">
        <f t="shared" si="0"/>
        <v>8</v>
      </c>
      <c r="H16" s="55">
        <f t="shared" si="1"/>
        <v>49.6</v>
      </c>
      <c r="I16" s="56">
        <f t="shared" si="2"/>
        <v>201.16</v>
      </c>
      <c r="J16" s="22">
        <v>423</v>
      </c>
      <c r="K16" s="22">
        <v>0</v>
      </c>
      <c r="L16" s="54">
        <v>1</v>
      </c>
      <c r="M16" s="56">
        <f t="shared" si="3"/>
        <v>201.16</v>
      </c>
      <c r="N16" s="57">
        <f t="shared" si="4"/>
        <v>0</v>
      </c>
      <c r="Q16" s="58"/>
      <c r="R16" s="51"/>
    </row>
    <row r="17" spans="2:18" s="23" customFormat="1" ht="15.75" customHeight="1" x14ac:dyDescent="0.2">
      <c r="B17" s="52">
        <f>Summary!B17</f>
        <v>46174</v>
      </c>
      <c r="C17" s="53">
        <v>3</v>
      </c>
      <c r="D17" s="53">
        <v>2</v>
      </c>
      <c r="E17" s="53">
        <v>2</v>
      </c>
      <c r="F17" s="53">
        <v>1</v>
      </c>
      <c r="G17" s="54">
        <f t="shared" si="0"/>
        <v>8</v>
      </c>
      <c r="H17" s="55">
        <f t="shared" si="1"/>
        <v>49.6</v>
      </c>
      <c r="I17" s="56">
        <f t="shared" si="2"/>
        <v>201.16</v>
      </c>
      <c r="J17" s="22">
        <v>348</v>
      </c>
      <c r="K17" s="22">
        <v>224</v>
      </c>
      <c r="L17" s="54">
        <v>1</v>
      </c>
      <c r="M17" s="56">
        <f t="shared" si="3"/>
        <v>-22.840000000000003</v>
      </c>
      <c r="N17" s="57">
        <f t="shared" si="4"/>
        <v>1.1135414595346989</v>
      </c>
      <c r="Q17" s="58"/>
      <c r="R17" s="51"/>
    </row>
    <row r="18" spans="2:18" s="23" customFormat="1" ht="15.75" customHeight="1" x14ac:dyDescent="0.2">
      <c r="B18" s="52">
        <f>Summary!B18</f>
        <v>46204</v>
      </c>
      <c r="C18" s="53"/>
      <c r="D18" s="53"/>
      <c r="E18" s="53"/>
      <c r="F18" s="53"/>
      <c r="G18" s="54">
        <f t="shared" si="0"/>
        <v>0</v>
      </c>
      <c r="H18" s="55">
        <f t="shared" si="1"/>
        <v>0</v>
      </c>
      <c r="I18" s="56">
        <f t="shared" si="2"/>
        <v>0</v>
      </c>
      <c r="J18" s="22"/>
      <c r="K18" s="22"/>
      <c r="L18" s="54"/>
      <c r="M18" s="56">
        <f t="shared" si="3"/>
        <v>0</v>
      </c>
      <c r="N18" s="57"/>
      <c r="Q18" s="58"/>
      <c r="R18" s="51"/>
    </row>
    <row r="19" spans="2:18" s="23" customFormat="1" ht="15.75" customHeight="1" x14ac:dyDescent="0.2">
      <c r="B19" s="52">
        <f>Summary!B19</f>
        <v>46235</v>
      </c>
      <c r="C19" s="53"/>
      <c r="D19" s="53"/>
      <c r="E19" s="53"/>
      <c r="F19" s="53"/>
      <c r="G19" s="54">
        <f t="shared" si="0"/>
        <v>0</v>
      </c>
      <c r="H19" s="55">
        <f t="shared" si="1"/>
        <v>0</v>
      </c>
      <c r="I19" s="56">
        <f t="shared" si="2"/>
        <v>0</v>
      </c>
      <c r="J19" s="22"/>
      <c r="K19" s="22"/>
      <c r="L19" s="54"/>
      <c r="M19" s="56">
        <f t="shared" si="3"/>
        <v>0</v>
      </c>
      <c r="N19" s="57"/>
      <c r="Q19" s="58"/>
      <c r="R19" s="51"/>
    </row>
    <row r="20" spans="2:18" s="23" customFormat="1" ht="15.75" customHeight="1" x14ac:dyDescent="0.2">
      <c r="B20" s="52">
        <f>Summary!B20</f>
        <v>46266</v>
      </c>
      <c r="C20" s="53"/>
      <c r="D20" s="53"/>
      <c r="E20" s="53"/>
      <c r="F20" s="53"/>
      <c r="G20" s="54">
        <f t="shared" si="0"/>
        <v>0</v>
      </c>
      <c r="H20" s="55">
        <f t="shared" si="1"/>
        <v>0</v>
      </c>
      <c r="I20" s="56">
        <f t="shared" si="2"/>
        <v>0</v>
      </c>
      <c r="J20" s="22"/>
      <c r="K20" s="22"/>
      <c r="L20" s="54"/>
      <c r="M20" s="56">
        <f t="shared" si="3"/>
        <v>0</v>
      </c>
      <c r="N20" s="57"/>
      <c r="Q20" s="58"/>
      <c r="R20" s="51"/>
    </row>
    <row r="21" spans="2:18" s="23" customFormat="1" ht="15.75" customHeight="1" x14ac:dyDescent="0.2">
      <c r="B21" s="52">
        <f>Summary!B21</f>
        <v>46296</v>
      </c>
      <c r="C21" s="53"/>
      <c r="D21" s="53"/>
      <c r="E21" s="53"/>
      <c r="F21" s="53"/>
      <c r="G21" s="54">
        <f t="shared" si="0"/>
        <v>0</v>
      </c>
      <c r="H21" s="55">
        <f t="shared" si="1"/>
        <v>0</v>
      </c>
      <c r="I21" s="56">
        <f t="shared" si="2"/>
        <v>0</v>
      </c>
      <c r="J21" s="22"/>
      <c r="K21" s="22"/>
      <c r="L21" s="54"/>
      <c r="M21" s="56">
        <f t="shared" si="3"/>
        <v>0</v>
      </c>
      <c r="N21" s="57"/>
      <c r="Q21" s="58"/>
      <c r="R21" s="51"/>
    </row>
    <row r="22" spans="2:18" s="23" customFormat="1" ht="15.75" customHeight="1" x14ac:dyDescent="0.2">
      <c r="B22" s="52">
        <f>Summary!B22</f>
        <v>46327</v>
      </c>
      <c r="C22" s="53"/>
      <c r="D22" s="53"/>
      <c r="E22" s="53"/>
      <c r="F22" s="53"/>
      <c r="G22" s="54">
        <f t="shared" si="0"/>
        <v>0</v>
      </c>
      <c r="H22" s="55">
        <f t="shared" si="1"/>
        <v>0</v>
      </c>
      <c r="I22" s="56">
        <f t="shared" si="2"/>
        <v>0</v>
      </c>
      <c r="J22" s="22"/>
      <c r="K22" s="22"/>
      <c r="L22" s="54"/>
      <c r="M22" s="56">
        <f t="shared" si="3"/>
        <v>0</v>
      </c>
      <c r="N22" s="57"/>
      <c r="Q22" s="58"/>
      <c r="R22" s="51"/>
    </row>
    <row r="23" spans="2:18" s="23" customFormat="1" ht="15.75" customHeight="1" x14ac:dyDescent="0.2">
      <c r="B23" s="52">
        <f>Summary!B23</f>
        <v>46357</v>
      </c>
      <c r="C23" s="53"/>
      <c r="D23" s="53"/>
      <c r="E23" s="53"/>
      <c r="F23" s="53"/>
      <c r="G23" s="54">
        <f t="shared" si="0"/>
        <v>0</v>
      </c>
      <c r="H23" s="55">
        <f t="shared" si="1"/>
        <v>0</v>
      </c>
      <c r="I23" s="56">
        <f t="shared" si="2"/>
        <v>0</v>
      </c>
      <c r="J23" s="22"/>
      <c r="K23" s="22"/>
      <c r="L23" s="54"/>
      <c r="M23" s="56">
        <f t="shared" si="3"/>
        <v>0</v>
      </c>
      <c r="N23" s="57"/>
      <c r="Q23" s="58"/>
      <c r="R23" s="51"/>
    </row>
    <row r="24" spans="2:18" s="23" customFormat="1" ht="15.75" customHeight="1" thickBot="1" x14ac:dyDescent="0.25">
      <c r="B24" s="59"/>
      <c r="C24" s="60"/>
      <c r="D24" s="60"/>
      <c r="E24" s="60"/>
      <c r="F24" s="60"/>
      <c r="G24" s="61"/>
      <c r="H24" s="62"/>
      <c r="I24" s="63"/>
      <c r="J24" s="64"/>
      <c r="K24" s="65"/>
      <c r="L24" s="66"/>
      <c r="M24" s="67"/>
      <c r="N24" s="68"/>
    </row>
    <row r="25" spans="2:18" s="76" customFormat="1" ht="15.75" customHeight="1" thickBot="1" x14ac:dyDescent="0.3">
      <c r="B25" s="69" t="s">
        <v>24</v>
      </c>
      <c r="C25" s="70">
        <f>AVERAGEIF(C12:C23,"&gt;0")</f>
        <v>3</v>
      </c>
      <c r="D25" s="98">
        <f>AVERAGEIF(D12:D23,"&gt;0")</f>
        <v>1.8333333333333333</v>
      </c>
      <c r="E25" s="70">
        <f>AVERAGEIF(E12:E23,"&gt;0")</f>
        <v>2</v>
      </c>
      <c r="F25" s="99">
        <f>AVERAGEIF(F12:F23,"&gt;0")</f>
        <v>1</v>
      </c>
      <c r="G25" s="70">
        <f>AVERAGEIF(G12:G23,"&gt;0")</f>
        <v>7.833333333333333</v>
      </c>
      <c r="H25" s="71">
        <f>SUM(H11:H23)</f>
        <v>291.39999999999998</v>
      </c>
      <c r="I25" s="71">
        <f>SUM(I11:I23)</f>
        <v>1179.51</v>
      </c>
      <c r="J25" s="72">
        <f>SUM(J11:J23)</f>
        <v>1094</v>
      </c>
      <c r="K25" s="73">
        <f>SUM(K11:K23)</f>
        <v>435.5</v>
      </c>
      <c r="L25" s="74">
        <f>SUM(L12:L23)</f>
        <v>3</v>
      </c>
      <c r="M25" s="71">
        <f>SUM(M12:M23)</f>
        <v>744.00999999999988</v>
      </c>
      <c r="N25" s="75">
        <f>K25/I25</f>
        <v>0.36922111724360118</v>
      </c>
    </row>
    <row r="26" spans="2:18" s="23" customFormat="1" ht="15.75" customHeight="1" x14ac:dyDescent="0.2">
      <c r="J26" s="77"/>
      <c r="L26" s="78"/>
    </row>
    <row r="27" spans="2:18" s="23" customFormat="1" ht="15.75" customHeight="1" x14ac:dyDescent="0.25">
      <c r="B27" s="146" t="s">
        <v>25</v>
      </c>
      <c r="C27" s="147"/>
      <c r="D27" s="147"/>
      <c r="E27" s="147"/>
      <c r="F27" s="147"/>
      <c r="G27" s="148"/>
      <c r="H27" s="79"/>
      <c r="J27" s="128" t="s">
        <v>26</v>
      </c>
      <c r="K27" s="129"/>
      <c r="L27" s="129"/>
      <c r="M27" s="129"/>
      <c r="N27" s="130"/>
    </row>
    <row r="28" spans="2:18" s="23" customFormat="1" ht="15.75" customHeight="1" x14ac:dyDescent="0.2">
      <c r="B28" s="80"/>
      <c r="C28" s="129" t="s">
        <v>27</v>
      </c>
      <c r="D28" s="130"/>
      <c r="E28" s="149" t="s">
        <v>28</v>
      </c>
      <c r="F28" s="130"/>
      <c r="G28" s="81" t="s">
        <v>16</v>
      </c>
      <c r="H28" s="77"/>
      <c r="J28" s="125" t="s">
        <v>29</v>
      </c>
      <c r="K28" s="126"/>
      <c r="L28" s="126"/>
      <c r="M28" s="127"/>
      <c r="N28" s="82">
        <f>J25/L25</f>
        <v>364.66666666666669</v>
      </c>
    </row>
    <row r="29" spans="2:18" s="23" customFormat="1" ht="15.75" customHeight="1" x14ac:dyDescent="0.2">
      <c r="B29" s="83" t="s">
        <v>30</v>
      </c>
      <c r="C29" s="143">
        <v>13.32</v>
      </c>
      <c r="D29" s="144"/>
      <c r="E29" s="145">
        <v>6.2</v>
      </c>
      <c r="F29" s="144"/>
      <c r="G29" s="84">
        <f>C29+E29</f>
        <v>19.52</v>
      </c>
      <c r="H29" s="85"/>
      <c r="J29" s="125" t="s">
        <v>31</v>
      </c>
      <c r="K29" s="126"/>
      <c r="L29" s="126"/>
      <c r="M29" s="127"/>
      <c r="N29" s="82">
        <f>K25/L25</f>
        <v>145.16666666666666</v>
      </c>
    </row>
    <row r="30" spans="2:18" s="23" customFormat="1" ht="15.75" customHeight="1" x14ac:dyDescent="0.2">
      <c r="B30" s="86" t="str">
        <f>IF(D10="E+1","EE &amp; One","EE &amp; Spouse")</f>
        <v>EE &amp; Spouse</v>
      </c>
      <c r="C30" s="143">
        <v>27.45</v>
      </c>
      <c r="D30" s="144"/>
      <c r="E30" s="145">
        <v>6.2</v>
      </c>
      <c r="F30" s="144"/>
      <c r="G30" s="84">
        <f>C30+E30</f>
        <v>33.65</v>
      </c>
      <c r="H30" s="85"/>
      <c r="J30" s="125" t="s">
        <v>32</v>
      </c>
      <c r="K30" s="126"/>
      <c r="L30" s="126"/>
      <c r="M30" s="127"/>
      <c r="N30" s="87">
        <f>((L25/COUNTIF(G12:G23,"&gt;0"))*12)/G25</f>
        <v>0.76595744680851063</v>
      </c>
    </row>
    <row r="31" spans="2:18" s="23" customFormat="1" ht="15.75" customHeight="1" x14ac:dyDescent="0.2">
      <c r="B31" s="83" t="s">
        <v>33</v>
      </c>
      <c r="C31" s="143">
        <v>30.15</v>
      </c>
      <c r="D31" s="144"/>
      <c r="E31" s="145">
        <v>6.2</v>
      </c>
      <c r="F31" s="144"/>
      <c r="G31" s="84">
        <f>C31+E31</f>
        <v>36.35</v>
      </c>
      <c r="H31" s="85"/>
      <c r="J31" s="125" t="s">
        <v>34</v>
      </c>
      <c r="K31" s="126"/>
      <c r="L31" s="126"/>
      <c r="M31" s="127"/>
      <c r="N31" s="88">
        <f>K25/J25</f>
        <v>0.39808043875685556</v>
      </c>
    </row>
    <row r="32" spans="2:18" s="23" customFormat="1" ht="15.75" customHeight="1" x14ac:dyDescent="0.2">
      <c r="B32" s="83" t="s">
        <v>35</v>
      </c>
      <c r="C32" s="143">
        <v>46</v>
      </c>
      <c r="D32" s="144"/>
      <c r="E32" s="145">
        <v>6.2</v>
      </c>
      <c r="F32" s="144"/>
      <c r="G32" s="84">
        <f>C32+E32</f>
        <v>52.2</v>
      </c>
      <c r="H32" s="85"/>
      <c r="J32" s="125" t="s">
        <v>36</v>
      </c>
      <c r="K32" s="126"/>
      <c r="L32" s="126"/>
      <c r="M32" s="127"/>
      <c r="N32" s="82">
        <f>K25/G25/(COUNTIF(G12:G23,"&gt;0"))</f>
        <v>9.2659574468085104</v>
      </c>
    </row>
    <row r="33" spans="2:14" s="23" customFormat="1" ht="15.75" customHeight="1" x14ac:dyDescent="0.2">
      <c r="C33" s="85"/>
      <c r="D33" s="85"/>
      <c r="E33" s="85"/>
      <c r="F33" s="89"/>
      <c r="G33" s="85"/>
      <c r="H33" s="85"/>
      <c r="J33" s="90"/>
      <c r="K33" s="90"/>
      <c r="L33" s="90"/>
      <c r="M33" s="90"/>
      <c r="N33" s="91"/>
    </row>
    <row r="34" spans="2:14" s="23" customFormat="1" ht="15.75" customHeight="1" thickBot="1" x14ac:dyDescent="0.25">
      <c r="J34" s="77"/>
      <c r="L34" s="78"/>
    </row>
    <row r="35" spans="2:14" s="23" customFormat="1" ht="15.75" customHeight="1" thickBot="1" x14ac:dyDescent="0.3">
      <c r="B35" s="139" t="s">
        <v>37</v>
      </c>
      <c r="C35" s="139"/>
      <c r="D35" s="139"/>
      <c r="E35" s="139"/>
      <c r="F35" s="139"/>
      <c r="G35" s="139"/>
      <c r="H35" s="79"/>
      <c r="J35" s="109" t="s">
        <v>41</v>
      </c>
      <c r="K35" s="110"/>
      <c r="L35" s="110"/>
      <c r="M35" s="110"/>
      <c r="N35" s="111"/>
    </row>
    <row r="36" spans="2:14" s="23" customFormat="1" ht="15.75" customHeight="1" x14ac:dyDescent="0.2">
      <c r="B36" s="140" t="s">
        <v>52</v>
      </c>
      <c r="C36" s="141"/>
      <c r="D36" s="141"/>
      <c r="E36" s="141"/>
      <c r="F36" s="141"/>
      <c r="G36" s="142"/>
      <c r="H36" s="92"/>
      <c r="J36" s="112" t="s">
        <v>29</v>
      </c>
      <c r="K36" s="113"/>
      <c r="L36" s="113"/>
      <c r="M36" s="114"/>
      <c r="N36" s="95">
        <v>240.2</v>
      </c>
    </row>
    <row r="37" spans="2:14" s="23" customFormat="1" ht="15.75" customHeight="1" x14ac:dyDescent="0.2">
      <c r="B37" s="133" t="s">
        <v>53</v>
      </c>
      <c r="C37" s="134"/>
      <c r="D37" s="134"/>
      <c r="E37" s="134"/>
      <c r="F37" s="134"/>
      <c r="G37" s="135"/>
      <c r="H37" s="92"/>
      <c r="J37" s="112" t="s">
        <v>31</v>
      </c>
      <c r="K37" s="113"/>
      <c r="L37" s="113"/>
      <c r="M37" s="114"/>
      <c r="N37" s="95">
        <v>150.1</v>
      </c>
    </row>
    <row r="38" spans="2:14" s="23" customFormat="1" ht="15.75" customHeight="1" x14ac:dyDescent="0.2">
      <c r="B38" s="133" t="s">
        <v>54</v>
      </c>
      <c r="C38" s="134"/>
      <c r="D38" s="134"/>
      <c r="E38" s="134"/>
      <c r="F38" s="134"/>
      <c r="G38" s="135"/>
      <c r="H38" s="92"/>
      <c r="J38" s="112" t="s">
        <v>32</v>
      </c>
      <c r="K38" s="113"/>
      <c r="L38" s="113"/>
      <c r="M38" s="114"/>
      <c r="N38" s="96">
        <v>0.5</v>
      </c>
    </row>
    <row r="39" spans="2:14" s="23" customFormat="1" ht="15.75" customHeight="1" x14ac:dyDescent="0.2">
      <c r="B39" s="133" t="s">
        <v>55</v>
      </c>
      <c r="C39" s="134"/>
      <c r="D39" s="134"/>
      <c r="E39" s="134"/>
      <c r="F39" s="134"/>
      <c r="G39" s="135"/>
      <c r="H39" s="92"/>
      <c r="J39" s="112" t="s">
        <v>34</v>
      </c>
      <c r="K39" s="113"/>
      <c r="L39" s="113"/>
      <c r="M39" s="114"/>
      <c r="N39" s="97">
        <v>0.62490000000000001</v>
      </c>
    </row>
    <row r="40" spans="2:14" s="23" customFormat="1" ht="15.75" thickBot="1" x14ac:dyDescent="0.25">
      <c r="B40" s="136" t="s">
        <v>39</v>
      </c>
      <c r="C40" s="137"/>
      <c r="D40" s="137"/>
      <c r="E40" s="137"/>
      <c r="F40" s="137"/>
      <c r="G40" s="138"/>
      <c r="H40" s="92"/>
      <c r="J40" s="112" t="s">
        <v>36</v>
      </c>
      <c r="K40" s="113"/>
      <c r="L40" s="113"/>
      <c r="M40" s="114"/>
      <c r="N40" s="95">
        <v>6.2</v>
      </c>
    </row>
    <row r="41" spans="2:14" s="23" customFormat="1" ht="15.75" x14ac:dyDescent="0.25">
      <c r="J41" s="119" t="s">
        <v>42</v>
      </c>
      <c r="K41" s="120"/>
      <c r="L41" s="120"/>
      <c r="M41" s="121"/>
      <c r="N41" s="95">
        <v>2785.05</v>
      </c>
    </row>
    <row r="42" spans="2:14" s="23" customFormat="1" ht="10.15" customHeight="1" x14ac:dyDescent="0.2">
      <c r="J42" s="77"/>
      <c r="L42" s="78"/>
    </row>
    <row r="43" spans="2:14" s="23" customFormat="1" ht="10.15" customHeight="1" x14ac:dyDescent="0.2">
      <c r="B43" s="100" t="s">
        <v>46</v>
      </c>
      <c r="C43" s="101"/>
      <c r="D43" s="101"/>
      <c r="E43" s="101"/>
      <c r="F43" s="101"/>
      <c r="G43" s="101"/>
      <c r="H43" s="101"/>
      <c r="I43" s="101"/>
      <c r="J43" s="101"/>
      <c r="K43" s="101"/>
      <c r="L43" s="101"/>
      <c r="M43" s="101"/>
      <c r="N43" s="102"/>
    </row>
    <row r="44" spans="2:14" s="23" customFormat="1" ht="10.15" customHeight="1" x14ac:dyDescent="0.2">
      <c r="B44" s="103"/>
      <c r="C44" s="104"/>
      <c r="D44" s="104"/>
      <c r="E44" s="104"/>
      <c r="F44" s="104"/>
      <c r="G44" s="104"/>
      <c r="H44" s="104"/>
      <c r="I44" s="104"/>
      <c r="J44" s="104"/>
      <c r="K44" s="104"/>
      <c r="L44" s="104"/>
      <c r="M44" s="104"/>
      <c r="N44" s="105"/>
    </row>
    <row r="45" spans="2:14" s="23" customFormat="1" ht="10.15" customHeight="1" x14ac:dyDescent="0.2">
      <c r="B45" s="103"/>
      <c r="C45" s="104"/>
      <c r="D45" s="104"/>
      <c r="E45" s="104"/>
      <c r="F45" s="104"/>
      <c r="G45" s="104"/>
      <c r="H45" s="104"/>
      <c r="I45" s="104"/>
      <c r="J45" s="104"/>
      <c r="K45" s="104"/>
      <c r="L45" s="104"/>
      <c r="M45" s="104"/>
      <c r="N45" s="105"/>
    </row>
    <row r="46" spans="2:14" s="23" customFormat="1" ht="10.15" customHeight="1" x14ac:dyDescent="0.2">
      <c r="B46" s="103"/>
      <c r="C46" s="104"/>
      <c r="D46" s="104"/>
      <c r="E46" s="104"/>
      <c r="F46" s="104"/>
      <c r="G46" s="104"/>
      <c r="H46" s="104"/>
      <c r="I46" s="104"/>
      <c r="J46" s="104"/>
      <c r="K46" s="104"/>
      <c r="L46" s="104"/>
      <c r="M46" s="104"/>
      <c r="N46" s="105"/>
    </row>
    <row r="47" spans="2:14" s="23" customFormat="1" ht="10.15" customHeight="1" x14ac:dyDescent="0.2">
      <c r="B47" s="103"/>
      <c r="C47" s="104"/>
      <c r="D47" s="104"/>
      <c r="E47" s="104"/>
      <c r="F47" s="104"/>
      <c r="G47" s="104"/>
      <c r="H47" s="104"/>
      <c r="I47" s="104"/>
      <c r="J47" s="104"/>
      <c r="K47" s="104"/>
      <c r="L47" s="104"/>
      <c r="M47" s="104"/>
      <c r="N47" s="105"/>
    </row>
    <row r="48" spans="2:14" s="23" customFormat="1" ht="10.15" customHeight="1" x14ac:dyDescent="0.2">
      <c r="B48" s="103"/>
      <c r="C48" s="104"/>
      <c r="D48" s="104"/>
      <c r="E48" s="104"/>
      <c r="F48" s="104"/>
      <c r="G48" s="104"/>
      <c r="H48" s="104"/>
      <c r="I48" s="104"/>
      <c r="J48" s="104"/>
      <c r="K48" s="104"/>
      <c r="L48" s="104"/>
      <c r="M48" s="104"/>
      <c r="N48" s="105"/>
    </row>
    <row r="49" spans="2:14" s="23" customFormat="1" ht="10.15" customHeight="1" x14ac:dyDescent="0.2">
      <c r="B49" s="106"/>
      <c r="C49" s="107"/>
      <c r="D49" s="107"/>
      <c r="E49" s="107"/>
      <c r="F49" s="107"/>
      <c r="G49" s="107"/>
      <c r="H49" s="107"/>
      <c r="I49" s="107"/>
      <c r="J49" s="107"/>
      <c r="K49" s="107"/>
      <c r="L49" s="107"/>
      <c r="M49" s="107"/>
      <c r="N49" s="108"/>
    </row>
    <row r="50" spans="2:14" s="23" customFormat="1" ht="10.15" customHeight="1" x14ac:dyDescent="0.2">
      <c r="J50" s="77"/>
      <c r="L50" s="78"/>
    </row>
    <row r="51" spans="2:14" s="23" customFormat="1" ht="10.15" customHeight="1" x14ac:dyDescent="0.2">
      <c r="J51" s="77"/>
      <c r="L51" s="78"/>
    </row>
    <row r="52" spans="2:14" s="23" customFormat="1" ht="10.15" customHeight="1" x14ac:dyDescent="0.2">
      <c r="J52" s="77"/>
      <c r="L52" s="78"/>
    </row>
  </sheetData>
  <mergeCells count="44">
    <mergeCell ref="B27:G27"/>
    <mergeCell ref="J27:N27"/>
    <mergeCell ref="C28:D28"/>
    <mergeCell ref="E28:F28"/>
    <mergeCell ref="J28:M28"/>
    <mergeCell ref="J32:M32"/>
    <mergeCell ref="C29:D29"/>
    <mergeCell ref="E29:F29"/>
    <mergeCell ref="J29:M29"/>
    <mergeCell ref="C30:D30"/>
    <mergeCell ref="E30:F30"/>
    <mergeCell ref="J30:M30"/>
    <mergeCell ref="C31:D31"/>
    <mergeCell ref="E31:F31"/>
    <mergeCell ref="J31:M31"/>
    <mergeCell ref="C32:D32"/>
    <mergeCell ref="E32:F32"/>
    <mergeCell ref="B6:C6"/>
    <mergeCell ref="D6:G6"/>
    <mergeCell ref="K6:L6"/>
    <mergeCell ref="M6:N6"/>
    <mergeCell ref="B8:G8"/>
    <mergeCell ref="I8:L8"/>
    <mergeCell ref="M8:N8"/>
    <mergeCell ref="B1:N1"/>
    <mergeCell ref="B2:N2"/>
    <mergeCell ref="B5:C5"/>
    <mergeCell ref="D5:G5"/>
    <mergeCell ref="K5:L5"/>
    <mergeCell ref="M5:N5"/>
    <mergeCell ref="J41:M41"/>
    <mergeCell ref="B43:N49"/>
    <mergeCell ref="J35:N35"/>
    <mergeCell ref="J36:M36"/>
    <mergeCell ref="J37:M37"/>
    <mergeCell ref="J38:M38"/>
    <mergeCell ref="J39:M39"/>
    <mergeCell ref="J40:M40"/>
    <mergeCell ref="B37:G37"/>
    <mergeCell ref="B38:G38"/>
    <mergeCell ref="B40:G40"/>
    <mergeCell ref="B35:G35"/>
    <mergeCell ref="B36:G36"/>
    <mergeCell ref="B39:G39"/>
  </mergeCells>
  <phoneticPr fontId="0" type="noConversion"/>
  <pageMargins left="0.7" right="0.7" top="0.75" bottom="0.75" header="0.3" footer="0.3"/>
  <pageSetup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51"/>
  <sheetViews>
    <sheetView workbookViewId="0">
      <selection activeCell="Q14" sqref="Q14"/>
    </sheetView>
  </sheetViews>
  <sheetFormatPr defaultRowHeight="15" x14ac:dyDescent="0.25"/>
  <cols>
    <col min="1" max="1" width="5" style="17" customWidth="1"/>
    <col min="2" max="2" width="16.42578125" style="17" bestFit="1"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s>
  <sheetData>
    <row r="1" spans="1:14" ht="18" x14ac:dyDescent="0.25">
      <c r="A1" s="1"/>
      <c r="B1" s="131" t="str">
        <f>Summary!B1</f>
        <v>Windsor HR Services, Inc.</v>
      </c>
      <c r="C1" s="131"/>
      <c r="D1" s="131"/>
      <c r="E1" s="131"/>
      <c r="F1" s="131"/>
      <c r="G1" s="131"/>
      <c r="H1" s="131"/>
      <c r="I1" s="131"/>
      <c r="J1" s="131"/>
      <c r="K1" s="131"/>
      <c r="L1" s="131"/>
      <c r="M1" s="131"/>
      <c r="N1" s="131"/>
    </row>
    <row r="2" spans="1:14" ht="18" x14ac:dyDescent="0.25">
      <c r="A2" s="1"/>
      <c r="B2" s="132" t="str">
        <f>Summary!B2</f>
        <v>Monthly Performance Report - Budgeted vs Actual Claims Paid</v>
      </c>
      <c r="C2" s="132"/>
      <c r="D2" s="132"/>
      <c r="E2" s="132"/>
      <c r="F2" s="132"/>
      <c r="G2" s="132"/>
      <c r="H2" s="132"/>
      <c r="I2" s="132"/>
      <c r="J2" s="132"/>
      <c r="K2" s="132"/>
      <c r="L2" s="132"/>
      <c r="M2" s="132"/>
      <c r="N2" s="132"/>
    </row>
    <row r="3" spans="1:14" ht="18" x14ac:dyDescent="0.25">
      <c r="A3" s="1"/>
      <c r="B3" s="1"/>
      <c r="C3" s="1"/>
      <c r="D3" s="1"/>
      <c r="E3" s="1"/>
      <c r="F3" s="1"/>
      <c r="G3" s="5" t="s">
        <v>0</v>
      </c>
      <c r="H3" s="6">
        <f>Summary!H3</f>
        <v>46023</v>
      </c>
      <c r="I3" s="2" t="s">
        <v>1</v>
      </c>
      <c r="J3" s="6">
        <f>Summary!J3</f>
        <v>46387</v>
      </c>
      <c r="K3" s="1"/>
      <c r="L3" s="7"/>
      <c r="M3" s="1"/>
      <c r="N3" s="1"/>
    </row>
    <row r="4" spans="1:14" ht="18" x14ac:dyDescent="0.25">
      <c r="A4" s="1"/>
      <c r="B4" s="8"/>
      <c r="C4" s="8"/>
      <c r="D4" s="8"/>
      <c r="E4" s="8"/>
      <c r="F4" s="8"/>
      <c r="G4" s="3"/>
      <c r="H4" s="3"/>
      <c r="I4" s="13"/>
      <c r="J4" s="3"/>
      <c r="K4" s="8"/>
      <c r="L4" s="11"/>
      <c r="M4" s="12"/>
      <c r="N4" s="14"/>
    </row>
    <row r="5" spans="1:14" ht="18" x14ac:dyDescent="0.25">
      <c r="A5" s="1"/>
      <c r="B5" s="115" t="s">
        <v>2</v>
      </c>
      <c r="C5" s="115"/>
      <c r="D5" s="116" t="str">
        <f>Summary!D5</f>
        <v>S468</v>
      </c>
      <c r="E5" s="116"/>
      <c r="F5" s="116"/>
      <c r="G5" s="116"/>
      <c r="H5" s="15"/>
      <c r="I5" s="16"/>
      <c r="J5" s="16"/>
      <c r="K5" s="115" t="s">
        <v>3</v>
      </c>
      <c r="L5" s="115"/>
      <c r="M5" s="116" t="s">
        <v>57</v>
      </c>
      <c r="N5" s="116"/>
    </row>
    <row r="6" spans="1:14" ht="18" x14ac:dyDescent="0.25">
      <c r="A6" s="1"/>
      <c r="B6" s="115" t="s">
        <v>4</v>
      </c>
      <c r="C6" s="115"/>
      <c r="D6" s="116" t="s">
        <v>44</v>
      </c>
      <c r="E6" s="116"/>
      <c r="F6" s="116"/>
      <c r="G6" s="116"/>
      <c r="H6" s="15"/>
      <c r="I6" s="12"/>
      <c r="J6" s="12"/>
      <c r="K6" s="115" t="s">
        <v>5</v>
      </c>
      <c r="L6" s="115"/>
      <c r="M6" s="116" t="s">
        <v>58</v>
      </c>
      <c r="N6" s="116"/>
    </row>
    <row r="7" spans="1:14" ht="15.75" thickBot="1" x14ac:dyDescent="0.3">
      <c r="C7" s="18"/>
      <c r="D7" s="18"/>
      <c r="E7" s="18"/>
    </row>
    <row r="8" spans="1:14" s="21" customFormat="1" ht="16.5" customHeight="1" thickBot="1" x14ac:dyDescent="0.3">
      <c r="A8" s="23"/>
      <c r="B8" s="117" t="s">
        <v>6</v>
      </c>
      <c r="C8" s="118"/>
      <c r="D8" s="118"/>
      <c r="E8" s="118"/>
      <c r="F8" s="118"/>
      <c r="G8" s="118"/>
      <c r="H8" s="24" t="s">
        <v>7</v>
      </c>
      <c r="I8" s="122" t="s">
        <v>8</v>
      </c>
      <c r="J8" s="122"/>
      <c r="K8" s="122"/>
      <c r="L8" s="123"/>
      <c r="M8" s="124" t="s">
        <v>9</v>
      </c>
      <c r="N8" s="123"/>
    </row>
    <row r="9" spans="1:14" s="21" customFormat="1" ht="29.25" customHeight="1" x14ac:dyDescent="0.25">
      <c r="A9" s="23"/>
      <c r="B9" s="25"/>
      <c r="C9" s="26"/>
      <c r="D9" s="26"/>
      <c r="E9" s="26"/>
      <c r="F9" s="26"/>
      <c r="G9" s="27"/>
      <c r="H9" s="28"/>
      <c r="I9" s="29"/>
      <c r="J9" s="29"/>
      <c r="K9" s="29"/>
      <c r="L9" s="30"/>
      <c r="M9" s="31" t="s">
        <v>10</v>
      </c>
      <c r="N9" s="32" t="s">
        <v>11</v>
      </c>
    </row>
    <row r="10" spans="1:14" s="21" customFormat="1" ht="30.75" customHeight="1" thickBot="1" x14ac:dyDescent="0.3">
      <c r="A10" s="23"/>
      <c r="B10" s="33" t="s">
        <v>12</v>
      </c>
      <c r="C10" s="34" t="s">
        <v>13</v>
      </c>
      <c r="D10" s="35" t="s">
        <v>45</v>
      </c>
      <c r="E10" s="34" t="s">
        <v>14</v>
      </c>
      <c r="F10" s="34" t="s">
        <v>15</v>
      </c>
      <c r="G10" s="34" t="s">
        <v>16</v>
      </c>
      <c r="H10" s="36" t="s">
        <v>17</v>
      </c>
      <c r="I10" s="37" t="s">
        <v>18</v>
      </c>
      <c r="J10" s="37" t="s">
        <v>19</v>
      </c>
      <c r="K10" s="37" t="s">
        <v>20</v>
      </c>
      <c r="L10" s="38" t="s">
        <v>21</v>
      </c>
      <c r="M10" s="39" t="s">
        <v>22</v>
      </c>
      <c r="N10" s="40" t="s">
        <v>23</v>
      </c>
    </row>
    <row r="11" spans="1:14" s="21" customFormat="1" ht="15.75" x14ac:dyDescent="0.25">
      <c r="A11" s="23"/>
      <c r="B11" s="41"/>
      <c r="C11" s="42"/>
      <c r="D11" s="42"/>
      <c r="E11" s="42"/>
      <c r="F11" s="42"/>
      <c r="G11" s="43"/>
      <c r="H11" s="44"/>
      <c r="I11" s="45"/>
      <c r="J11" s="46"/>
      <c r="K11" s="47"/>
      <c r="L11" s="48"/>
      <c r="M11" s="49"/>
      <c r="N11" s="50"/>
    </row>
    <row r="12" spans="1:14" s="21" customFormat="1" ht="15.75" x14ac:dyDescent="0.25">
      <c r="A12" s="23"/>
      <c r="B12" s="52">
        <f>Summary!B12</f>
        <v>46023</v>
      </c>
      <c r="C12" s="53">
        <v>7</v>
      </c>
      <c r="D12" s="53">
        <v>4</v>
      </c>
      <c r="E12" s="53">
        <v>4</v>
      </c>
      <c r="F12" s="53">
        <v>2</v>
      </c>
      <c r="G12" s="54">
        <f>SUM(C12:F12)</f>
        <v>17</v>
      </c>
      <c r="H12" s="55">
        <f>(C12*$E$29)+(D12*$E$30)+(E12*$E$31)+(F12*$E$32)</f>
        <v>105.4</v>
      </c>
      <c r="I12" s="56">
        <f>(C12*$C$29)+(D12*$C$30)+(E12*$C$31)+(F12*$C$32)</f>
        <v>827.59999999999991</v>
      </c>
      <c r="J12" s="22">
        <v>0</v>
      </c>
      <c r="K12" s="22">
        <v>0</v>
      </c>
      <c r="L12" s="54">
        <v>0</v>
      </c>
      <c r="M12" s="56">
        <f>I12-K12</f>
        <v>827.59999999999991</v>
      </c>
      <c r="N12" s="57">
        <f>K12/I12</f>
        <v>0</v>
      </c>
    </row>
    <row r="13" spans="1:14" s="21" customFormat="1" ht="15.75" x14ac:dyDescent="0.25">
      <c r="A13" s="23"/>
      <c r="B13" s="52">
        <f>Summary!B13</f>
        <v>46054</v>
      </c>
      <c r="C13" s="53">
        <v>8</v>
      </c>
      <c r="D13" s="53">
        <v>4</v>
      </c>
      <c r="E13" s="53">
        <v>4</v>
      </c>
      <c r="F13" s="53">
        <v>2</v>
      </c>
      <c r="G13" s="54">
        <f t="shared" ref="G13:G23" si="0">SUM(C13:F13)</f>
        <v>18</v>
      </c>
      <c r="H13" s="55">
        <f t="shared" ref="H13:H23" si="1">(C13*$E$29)+(D13*$E$30)+(E13*$E$31)+(F13*$E$32)</f>
        <v>111.60000000000001</v>
      </c>
      <c r="I13" s="56">
        <f t="shared" ref="I13:I23" si="2">(C13*$C$29)+(D13*$C$30)+(E13*$C$31)+(F13*$C$32)</f>
        <v>857.40000000000009</v>
      </c>
      <c r="J13" s="22">
        <v>0</v>
      </c>
      <c r="K13" s="22">
        <v>0</v>
      </c>
      <c r="L13" s="54">
        <v>0</v>
      </c>
      <c r="M13" s="56">
        <f t="shared" ref="M13:M23" si="3">I13-K13</f>
        <v>857.40000000000009</v>
      </c>
      <c r="N13" s="57">
        <f t="shared" ref="N13:N17" si="4">K13/I13</f>
        <v>0</v>
      </c>
    </row>
    <row r="14" spans="1:14" s="21" customFormat="1" ht="15.75" x14ac:dyDescent="0.25">
      <c r="A14" s="23"/>
      <c r="B14" s="52">
        <f>Summary!B14</f>
        <v>46082</v>
      </c>
      <c r="C14" s="53">
        <v>8</v>
      </c>
      <c r="D14" s="53">
        <v>4</v>
      </c>
      <c r="E14" s="53">
        <v>4</v>
      </c>
      <c r="F14" s="53">
        <v>2</v>
      </c>
      <c r="G14" s="54">
        <f t="shared" si="0"/>
        <v>18</v>
      </c>
      <c r="H14" s="55">
        <f t="shared" si="1"/>
        <v>111.60000000000001</v>
      </c>
      <c r="I14" s="56">
        <f t="shared" si="2"/>
        <v>857.40000000000009</v>
      </c>
      <c r="J14" s="22">
        <v>2107.6999999999998</v>
      </c>
      <c r="K14" s="22">
        <v>1123.4000000000001</v>
      </c>
      <c r="L14" s="54">
        <v>5</v>
      </c>
      <c r="M14" s="56">
        <f t="shared" si="3"/>
        <v>-266</v>
      </c>
      <c r="N14" s="57">
        <f t="shared" si="4"/>
        <v>1.3102402612549569</v>
      </c>
    </row>
    <row r="15" spans="1:14" s="21" customFormat="1" ht="15.75" x14ac:dyDescent="0.25">
      <c r="A15" s="23"/>
      <c r="B15" s="52">
        <f>Summary!B15</f>
        <v>46113</v>
      </c>
      <c r="C15" s="53">
        <v>8</v>
      </c>
      <c r="D15" s="53">
        <v>4</v>
      </c>
      <c r="E15" s="53">
        <v>4</v>
      </c>
      <c r="F15" s="53">
        <v>2</v>
      </c>
      <c r="G15" s="54">
        <f t="shared" si="0"/>
        <v>18</v>
      </c>
      <c r="H15" s="55">
        <f t="shared" si="1"/>
        <v>111.60000000000001</v>
      </c>
      <c r="I15" s="56">
        <f t="shared" si="2"/>
        <v>857.40000000000009</v>
      </c>
      <c r="J15" s="22">
        <v>558</v>
      </c>
      <c r="K15" s="22">
        <v>0</v>
      </c>
      <c r="L15" s="54">
        <v>2</v>
      </c>
      <c r="M15" s="56">
        <f t="shared" si="3"/>
        <v>857.40000000000009</v>
      </c>
      <c r="N15" s="57">
        <f t="shared" si="4"/>
        <v>0</v>
      </c>
    </row>
    <row r="16" spans="1:14" s="21" customFormat="1" ht="15.75" x14ac:dyDescent="0.25">
      <c r="A16" s="23"/>
      <c r="B16" s="52">
        <f>Summary!B16</f>
        <v>46143</v>
      </c>
      <c r="C16" s="53">
        <v>9</v>
      </c>
      <c r="D16" s="53">
        <v>4</v>
      </c>
      <c r="E16" s="53">
        <v>3</v>
      </c>
      <c r="F16" s="53">
        <v>2</v>
      </c>
      <c r="G16" s="54">
        <f t="shared" si="0"/>
        <v>18</v>
      </c>
      <c r="H16" s="55">
        <f t="shared" si="1"/>
        <v>111.60000000000002</v>
      </c>
      <c r="I16" s="56">
        <f t="shared" si="2"/>
        <v>829.8</v>
      </c>
      <c r="J16" s="22">
        <v>0</v>
      </c>
      <c r="K16" s="22">
        <v>0</v>
      </c>
      <c r="L16" s="54">
        <v>0</v>
      </c>
      <c r="M16" s="56">
        <f t="shared" si="3"/>
        <v>829.8</v>
      </c>
      <c r="N16" s="57">
        <f t="shared" si="4"/>
        <v>0</v>
      </c>
    </row>
    <row r="17" spans="1:14" s="21" customFormat="1" ht="15.75" x14ac:dyDescent="0.25">
      <c r="A17" s="23"/>
      <c r="B17" s="52">
        <f>Summary!B17</f>
        <v>46174</v>
      </c>
      <c r="C17" s="53">
        <v>9</v>
      </c>
      <c r="D17" s="53">
        <v>4</v>
      </c>
      <c r="E17" s="53">
        <v>3</v>
      </c>
      <c r="F17" s="53">
        <v>2</v>
      </c>
      <c r="G17" s="54">
        <f t="shared" si="0"/>
        <v>18</v>
      </c>
      <c r="H17" s="55">
        <f t="shared" si="1"/>
        <v>111.60000000000002</v>
      </c>
      <c r="I17" s="56">
        <f t="shared" si="2"/>
        <v>829.8</v>
      </c>
      <c r="J17" s="22">
        <v>0</v>
      </c>
      <c r="K17" s="22">
        <v>0</v>
      </c>
      <c r="L17" s="54">
        <v>0</v>
      </c>
      <c r="M17" s="56">
        <f t="shared" si="3"/>
        <v>829.8</v>
      </c>
      <c r="N17" s="57">
        <f t="shared" si="4"/>
        <v>0</v>
      </c>
    </row>
    <row r="18" spans="1:14" s="21" customFormat="1" ht="15.75" x14ac:dyDescent="0.25">
      <c r="A18" s="23"/>
      <c r="B18" s="52">
        <f>Summary!B18</f>
        <v>46204</v>
      </c>
      <c r="C18" s="53"/>
      <c r="D18" s="53"/>
      <c r="E18" s="53"/>
      <c r="F18" s="53"/>
      <c r="G18" s="54">
        <f t="shared" si="0"/>
        <v>0</v>
      </c>
      <c r="H18" s="55">
        <f t="shared" si="1"/>
        <v>0</v>
      </c>
      <c r="I18" s="56">
        <f t="shared" si="2"/>
        <v>0</v>
      </c>
      <c r="J18" s="22"/>
      <c r="K18" s="22"/>
      <c r="L18" s="54"/>
      <c r="M18" s="56">
        <f t="shared" si="3"/>
        <v>0</v>
      </c>
      <c r="N18" s="57"/>
    </row>
    <row r="19" spans="1:14" s="21" customFormat="1" ht="15.75" x14ac:dyDescent="0.25">
      <c r="A19" s="23"/>
      <c r="B19" s="52">
        <f>Summary!B19</f>
        <v>46235</v>
      </c>
      <c r="C19" s="53"/>
      <c r="D19" s="53"/>
      <c r="E19" s="53"/>
      <c r="F19" s="53"/>
      <c r="G19" s="54">
        <f t="shared" si="0"/>
        <v>0</v>
      </c>
      <c r="H19" s="55">
        <f t="shared" si="1"/>
        <v>0</v>
      </c>
      <c r="I19" s="56">
        <f t="shared" si="2"/>
        <v>0</v>
      </c>
      <c r="J19" s="22"/>
      <c r="K19" s="22"/>
      <c r="L19" s="54"/>
      <c r="M19" s="56">
        <f t="shared" si="3"/>
        <v>0</v>
      </c>
      <c r="N19" s="57"/>
    </row>
    <row r="20" spans="1:14" s="21" customFormat="1" ht="15.75" x14ac:dyDescent="0.25">
      <c r="A20" s="23"/>
      <c r="B20" s="52">
        <f>Summary!B20</f>
        <v>46266</v>
      </c>
      <c r="C20" s="53"/>
      <c r="D20" s="53"/>
      <c r="E20" s="53"/>
      <c r="F20" s="53"/>
      <c r="G20" s="54">
        <f t="shared" si="0"/>
        <v>0</v>
      </c>
      <c r="H20" s="55">
        <f t="shared" si="1"/>
        <v>0</v>
      </c>
      <c r="I20" s="56">
        <f t="shared" si="2"/>
        <v>0</v>
      </c>
      <c r="J20" s="22"/>
      <c r="K20" s="22"/>
      <c r="L20" s="54"/>
      <c r="M20" s="56">
        <f t="shared" si="3"/>
        <v>0</v>
      </c>
      <c r="N20" s="57"/>
    </row>
    <row r="21" spans="1:14" s="21" customFormat="1" ht="15.75" x14ac:dyDescent="0.25">
      <c r="A21" s="23"/>
      <c r="B21" s="52">
        <f>Summary!B21</f>
        <v>46296</v>
      </c>
      <c r="C21" s="53"/>
      <c r="D21" s="53"/>
      <c r="E21" s="53"/>
      <c r="F21" s="53"/>
      <c r="G21" s="54">
        <f t="shared" si="0"/>
        <v>0</v>
      </c>
      <c r="H21" s="55">
        <f t="shared" si="1"/>
        <v>0</v>
      </c>
      <c r="I21" s="56">
        <f t="shared" si="2"/>
        <v>0</v>
      </c>
      <c r="J21" s="22"/>
      <c r="K21" s="22"/>
      <c r="L21" s="54"/>
      <c r="M21" s="56">
        <f t="shared" si="3"/>
        <v>0</v>
      </c>
      <c r="N21" s="57"/>
    </row>
    <row r="22" spans="1:14" s="21" customFormat="1" ht="15.75" x14ac:dyDescent="0.25">
      <c r="A22" s="23"/>
      <c r="B22" s="52">
        <f>Summary!B22</f>
        <v>46327</v>
      </c>
      <c r="C22" s="53"/>
      <c r="D22" s="53"/>
      <c r="E22" s="53"/>
      <c r="F22" s="53"/>
      <c r="G22" s="54">
        <f t="shared" si="0"/>
        <v>0</v>
      </c>
      <c r="H22" s="55">
        <f t="shared" si="1"/>
        <v>0</v>
      </c>
      <c r="I22" s="56">
        <f t="shared" si="2"/>
        <v>0</v>
      </c>
      <c r="J22" s="22"/>
      <c r="K22" s="22"/>
      <c r="L22" s="54"/>
      <c r="M22" s="56">
        <f t="shared" si="3"/>
        <v>0</v>
      </c>
      <c r="N22" s="57"/>
    </row>
    <row r="23" spans="1:14" s="21" customFormat="1" ht="15.75" x14ac:dyDescent="0.25">
      <c r="A23" s="23"/>
      <c r="B23" s="52">
        <f>Summary!B23</f>
        <v>46357</v>
      </c>
      <c r="C23" s="53"/>
      <c r="D23" s="53"/>
      <c r="E23" s="53"/>
      <c r="F23" s="53"/>
      <c r="G23" s="54">
        <f t="shared" si="0"/>
        <v>0</v>
      </c>
      <c r="H23" s="55">
        <f t="shared" si="1"/>
        <v>0</v>
      </c>
      <c r="I23" s="56">
        <f t="shared" si="2"/>
        <v>0</v>
      </c>
      <c r="J23" s="22"/>
      <c r="K23" s="22"/>
      <c r="L23" s="54"/>
      <c r="M23" s="56">
        <f t="shared" si="3"/>
        <v>0</v>
      </c>
      <c r="N23" s="57"/>
    </row>
    <row r="24" spans="1:14" s="21" customFormat="1" ht="16.5" thickBot="1" x14ac:dyDescent="0.3">
      <c r="A24" s="23"/>
      <c r="B24" s="59"/>
      <c r="C24" s="60"/>
      <c r="D24" s="60"/>
      <c r="E24" s="60"/>
      <c r="F24" s="60"/>
      <c r="G24" s="61"/>
      <c r="H24" s="62"/>
      <c r="I24" s="63"/>
      <c r="J24" s="64"/>
      <c r="K24" s="65"/>
      <c r="L24" s="66"/>
      <c r="M24" s="67"/>
      <c r="N24" s="68"/>
    </row>
    <row r="25" spans="1:14" s="21" customFormat="1" ht="16.5" thickBot="1" x14ac:dyDescent="0.3">
      <c r="A25" s="76"/>
      <c r="B25" s="69" t="s">
        <v>24</v>
      </c>
      <c r="C25" s="70">
        <f>AVERAGEIF(C12:C23,"&gt;0")</f>
        <v>8.1666666666666661</v>
      </c>
      <c r="D25" s="70">
        <f>AVERAGEIF(D12:D23,"&gt;0")</f>
        <v>4</v>
      </c>
      <c r="E25" s="70">
        <f>AVERAGEIF(E12:E23,"&gt;0")</f>
        <v>3.6666666666666665</v>
      </c>
      <c r="F25" s="70">
        <f>AVERAGEIF(F12:F23,"&gt;0")</f>
        <v>2</v>
      </c>
      <c r="G25" s="70">
        <f>AVERAGEIF(G12:G23,"&gt;0")</f>
        <v>17.833333333333332</v>
      </c>
      <c r="H25" s="71">
        <f>SUM(H11:H23)</f>
        <v>663.40000000000009</v>
      </c>
      <c r="I25" s="71">
        <f>SUM(I11:I23)</f>
        <v>5059.4000000000005</v>
      </c>
      <c r="J25" s="72">
        <f>SUM(J11:J23)</f>
        <v>2665.7</v>
      </c>
      <c r="K25" s="73">
        <f>SUM(K11:K23)</f>
        <v>1123.4000000000001</v>
      </c>
      <c r="L25" s="74">
        <f>SUM(L12:L23)</f>
        <v>7</v>
      </c>
      <c r="M25" s="71">
        <f>SUM(M12:M23)</f>
        <v>3936</v>
      </c>
      <c r="N25" s="75">
        <f>K25/I25</f>
        <v>0.22204213938411668</v>
      </c>
    </row>
    <row r="26" spans="1:14" s="21" customFormat="1" ht="15.75" x14ac:dyDescent="0.25">
      <c r="A26" s="23"/>
      <c r="B26" s="23"/>
      <c r="C26" s="23"/>
      <c r="D26" s="23"/>
      <c r="E26" s="23"/>
      <c r="F26" s="23"/>
      <c r="G26" s="23"/>
      <c r="H26" s="23"/>
      <c r="I26" s="23"/>
      <c r="J26" s="77"/>
      <c r="K26" s="23"/>
      <c r="L26" s="78"/>
      <c r="M26" s="23"/>
      <c r="N26" s="23"/>
    </row>
    <row r="27" spans="1:14" s="21" customFormat="1" ht="15" customHeight="1" x14ac:dyDescent="0.25">
      <c r="A27" s="23"/>
      <c r="B27" s="146" t="s">
        <v>25</v>
      </c>
      <c r="C27" s="147"/>
      <c r="D27" s="147"/>
      <c r="E27" s="147"/>
      <c r="F27" s="147"/>
      <c r="G27" s="148"/>
      <c r="H27" s="79"/>
      <c r="I27" s="23"/>
      <c r="J27" s="128" t="s">
        <v>26</v>
      </c>
      <c r="K27" s="129"/>
      <c r="L27" s="129"/>
      <c r="M27" s="129"/>
      <c r="N27" s="130"/>
    </row>
    <row r="28" spans="1:14" s="21" customFormat="1" ht="15" customHeight="1" x14ac:dyDescent="0.25">
      <c r="A28" s="23"/>
      <c r="B28" s="80"/>
      <c r="C28" s="129" t="s">
        <v>27</v>
      </c>
      <c r="D28" s="130"/>
      <c r="E28" s="149" t="s">
        <v>28</v>
      </c>
      <c r="F28" s="130"/>
      <c r="G28" s="81" t="s">
        <v>16</v>
      </c>
      <c r="H28" s="77"/>
      <c r="I28" s="23"/>
      <c r="J28" s="125" t="s">
        <v>29</v>
      </c>
      <c r="K28" s="126"/>
      <c r="L28" s="126"/>
      <c r="M28" s="127"/>
      <c r="N28" s="82">
        <f>J25/L25</f>
        <v>380.81428571428569</v>
      </c>
    </row>
    <row r="29" spans="1:14" s="21" customFormat="1" ht="15.75" customHeight="1" x14ac:dyDescent="0.25">
      <c r="A29" s="23"/>
      <c r="B29" s="83" t="s">
        <v>30</v>
      </c>
      <c r="C29" s="143">
        <v>29.8</v>
      </c>
      <c r="D29" s="144" t="s">
        <v>47</v>
      </c>
      <c r="E29" s="145">
        <v>6.2</v>
      </c>
      <c r="F29" s="144" t="s">
        <v>47</v>
      </c>
      <c r="G29" s="84">
        <f>C29+E29</f>
        <v>36</v>
      </c>
      <c r="H29" s="85"/>
      <c r="I29" s="23"/>
      <c r="J29" s="125" t="s">
        <v>31</v>
      </c>
      <c r="K29" s="126"/>
      <c r="L29" s="126"/>
      <c r="M29" s="127"/>
      <c r="N29" s="82">
        <f>K25/L25</f>
        <v>160.48571428571429</v>
      </c>
    </row>
    <row r="30" spans="1:14" s="21" customFormat="1" ht="15.75" x14ac:dyDescent="0.25">
      <c r="A30" s="23"/>
      <c r="B30" s="86" t="str">
        <f>IF(D10="E+1","EE &amp; One","EE &amp; Spouse")</f>
        <v>EE &amp; Spouse</v>
      </c>
      <c r="C30" s="143">
        <v>55.3</v>
      </c>
      <c r="D30" s="144" t="s">
        <v>47</v>
      </c>
      <c r="E30" s="145">
        <v>6.2</v>
      </c>
      <c r="F30" s="144" t="s">
        <v>47</v>
      </c>
      <c r="G30" s="84">
        <f>C30+E30</f>
        <v>61.5</v>
      </c>
      <c r="H30" s="85"/>
      <c r="I30" s="23"/>
      <c r="J30" s="125" t="s">
        <v>32</v>
      </c>
      <c r="K30" s="126"/>
      <c r="L30" s="126"/>
      <c r="M30" s="127"/>
      <c r="N30" s="87">
        <f>((L25/COUNTIF(G12:G23,"&gt;0"))*12)/G25</f>
        <v>0.7850467289719627</v>
      </c>
    </row>
    <row r="31" spans="1:14" ht="15.75" x14ac:dyDescent="0.25">
      <c r="A31" s="23"/>
      <c r="B31" s="83" t="s">
        <v>33</v>
      </c>
      <c r="C31" s="143">
        <v>57.4</v>
      </c>
      <c r="D31" s="144" t="s">
        <v>47</v>
      </c>
      <c r="E31" s="145">
        <v>6.2</v>
      </c>
      <c r="F31" s="144" t="s">
        <v>47</v>
      </c>
      <c r="G31" s="84">
        <f>C31+E31</f>
        <v>63.6</v>
      </c>
      <c r="H31" s="85"/>
      <c r="I31" s="23"/>
      <c r="J31" s="125" t="s">
        <v>34</v>
      </c>
      <c r="K31" s="126"/>
      <c r="L31" s="126"/>
      <c r="M31" s="127"/>
      <c r="N31" s="88">
        <f>K25/J25</f>
        <v>0.42142776756574263</v>
      </c>
    </row>
    <row r="32" spans="1:14" ht="15.75" x14ac:dyDescent="0.25">
      <c r="A32" s="23"/>
      <c r="B32" s="83" t="s">
        <v>35</v>
      </c>
      <c r="C32" s="143">
        <v>84.1</v>
      </c>
      <c r="D32" s="144" t="s">
        <v>47</v>
      </c>
      <c r="E32" s="145">
        <v>6.2</v>
      </c>
      <c r="F32" s="144" t="s">
        <v>47</v>
      </c>
      <c r="G32" s="84">
        <f>C32+E32</f>
        <v>90.3</v>
      </c>
      <c r="H32" s="85"/>
      <c r="I32" s="23"/>
      <c r="J32" s="125" t="s">
        <v>36</v>
      </c>
      <c r="K32" s="126"/>
      <c r="L32" s="126"/>
      <c r="M32" s="127"/>
      <c r="N32" s="82">
        <f>K25/G25/(COUNTIF(G12:G23,"&gt;0"))</f>
        <v>10.499065420560749</v>
      </c>
    </row>
    <row r="33" spans="1:14" ht="15.75" x14ac:dyDescent="0.25">
      <c r="A33" s="23"/>
      <c r="B33" s="23"/>
      <c r="C33" s="85"/>
      <c r="D33" s="85"/>
      <c r="E33" s="85"/>
      <c r="F33" s="89"/>
      <c r="G33" s="85"/>
      <c r="H33" s="85"/>
      <c r="I33" s="23"/>
      <c r="J33" s="90"/>
      <c r="K33" s="90"/>
      <c r="L33" s="90"/>
      <c r="M33" s="90"/>
      <c r="N33" s="91"/>
    </row>
    <row r="34" spans="1:14" ht="16.5" thickBot="1" x14ac:dyDescent="0.3">
      <c r="A34" s="23"/>
      <c r="B34" s="23"/>
      <c r="C34" s="23"/>
      <c r="D34" s="23"/>
      <c r="E34" s="23"/>
      <c r="F34" s="23"/>
      <c r="G34" s="23"/>
      <c r="H34" s="23"/>
      <c r="I34" s="23"/>
      <c r="J34" s="77"/>
      <c r="K34" s="23"/>
      <c r="L34" s="78"/>
      <c r="M34" s="23"/>
      <c r="N34" s="23"/>
    </row>
    <row r="35" spans="1:14" ht="16.5" thickBot="1" x14ac:dyDescent="0.3">
      <c r="A35" s="23"/>
      <c r="B35" s="139" t="s">
        <v>37</v>
      </c>
      <c r="C35" s="139"/>
      <c r="D35" s="139"/>
      <c r="E35" s="139"/>
      <c r="F35" s="139"/>
      <c r="G35" s="139"/>
      <c r="H35" s="79"/>
      <c r="I35" s="23"/>
      <c r="J35" s="109" t="s">
        <v>41</v>
      </c>
      <c r="K35" s="110"/>
      <c r="L35" s="110"/>
      <c r="M35" s="110"/>
      <c r="N35" s="111"/>
    </row>
    <row r="36" spans="1:14" ht="15.75" x14ac:dyDescent="0.25">
      <c r="A36" s="23"/>
      <c r="B36" s="140" t="s">
        <v>59</v>
      </c>
      <c r="C36" s="141"/>
      <c r="D36" s="141"/>
      <c r="E36" s="141"/>
      <c r="F36" s="141"/>
      <c r="G36" s="142"/>
      <c r="H36" s="92"/>
      <c r="I36" s="23"/>
      <c r="J36" s="112" t="s">
        <v>29</v>
      </c>
      <c r="K36" s="113"/>
      <c r="L36" s="113"/>
      <c r="M36" s="114"/>
      <c r="N36" s="95">
        <v>578.58000000000004</v>
      </c>
    </row>
    <row r="37" spans="1:14" ht="15.75" x14ac:dyDescent="0.25">
      <c r="A37" s="23"/>
      <c r="B37" s="133" t="s">
        <v>60</v>
      </c>
      <c r="C37" s="134"/>
      <c r="D37" s="134"/>
      <c r="E37" s="134"/>
      <c r="F37" s="134"/>
      <c r="G37" s="135"/>
      <c r="H37" s="92"/>
      <c r="I37" s="23"/>
      <c r="J37" s="112" t="s">
        <v>31</v>
      </c>
      <c r="K37" s="113"/>
      <c r="L37" s="113"/>
      <c r="M37" s="114"/>
      <c r="N37" s="95">
        <v>355.06</v>
      </c>
    </row>
    <row r="38" spans="1:14" ht="15.75" x14ac:dyDescent="0.25">
      <c r="A38" s="23"/>
      <c r="B38" s="133" t="s">
        <v>56</v>
      </c>
      <c r="C38" s="134"/>
      <c r="D38" s="134"/>
      <c r="E38" s="134"/>
      <c r="F38" s="134"/>
      <c r="G38" s="135"/>
      <c r="H38" s="92"/>
      <c r="I38" s="23"/>
      <c r="J38" s="112" t="s">
        <v>32</v>
      </c>
      <c r="K38" s="113"/>
      <c r="L38" s="113"/>
      <c r="M38" s="114"/>
      <c r="N38" s="96">
        <v>1.6</v>
      </c>
    </row>
    <row r="39" spans="1:14" ht="15.75" x14ac:dyDescent="0.25">
      <c r="A39" s="23"/>
      <c r="B39" s="133" t="s">
        <v>61</v>
      </c>
      <c r="C39" s="134"/>
      <c r="D39" s="134"/>
      <c r="E39" s="134"/>
      <c r="F39" s="134"/>
      <c r="G39" s="135"/>
      <c r="H39" s="92"/>
      <c r="I39" s="23"/>
      <c r="J39" s="112" t="s">
        <v>34</v>
      </c>
      <c r="K39" s="113"/>
      <c r="L39" s="113"/>
      <c r="M39" s="114"/>
      <c r="N39" s="97">
        <v>0.61370000000000002</v>
      </c>
    </row>
    <row r="40" spans="1:14" ht="16.5" thickBot="1" x14ac:dyDescent="0.3">
      <c r="A40" s="23"/>
      <c r="B40" s="136" t="s">
        <v>39</v>
      </c>
      <c r="C40" s="137"/>
      <c r="D40" s="137"/>
      <c r="E40" s="137"/>
      <c r="F40" s="137"/>
      <c r="G40" s="138"/>
      <c r="H40" s="92"/>
      <c r="I40" s="23"/>
      <c r="J40" s="112" t="s">
        <v>36</v>
      </c>
      <c r="K40" s="113"/>
      <c r="L40" s="113"/>
      <c r="M40" s="114"/>
      <c r="N40" s="95">
        <v>47.25</v>
      </c>
    </row>
    <row r="41" spans="1:14" ht="15.75" x14ac:dyDescent="0.25">
      <c r="A41" s="23"/>
      <c r="B41" s="23"/>
      <c r="C41" s="23"/>
      <c r="D41" s="23"/>
      <c r="E41" s="23"/>
      <c r="F41" s="23"/>
      <c r="G41" s="23"/>
      <c r="H41" s="23"/>
      <c r="I41" s="23"/>
      <c r="J41" s="119" t="s">
        <v>42</v>
      </c>
      <c r="K41" s="120"/>
      <c r="L41" s="120"/>
      <c r="M41" s="121"/>
      <c r="N41" s="95">
        <v>1895</v>
      </c>
    </row>
    <row r="42" spans="1:14" ht="15.75" x14ac:dyDescent="0.25">
      <c r="A42" s="23"/>
      <c r="B42" s="23"/>
      <c r="C42" s="23"/>
      <c r="D42" s="23"/>
      <c r="E42" s="23"/>
      <c r="F42" s="23"/>
      <c r="G42" s="23"/>
      <c r="H42" s="23"/>
      <c r="I42" s="23"/>
      <c r="J42" s="77"/>
      <c r="K42" s="23"/>
      <c r="L42" s="78"/>
      <c r="M42" s="23"/>
      <c r="N42" s="23"/>
    </row>
    <row r="43" spans="1:14" ht="15.75" x14ac:dyDescent="0.25">
      <c r="A43" s="23"/>
      <c r="B43" s="100" t="s">
        <v>46</v>
      </c>
      <c r="C43" s="101"/>
      <c r="D43" s="101"/>
      <c r="E43" s="101"/>
      <c r="F43" s="101"/>
      <c r="G43" s="101"/>
      <c r="H43" s="101"/>
      <c r="I43" s="101"/>
      <c r="J43" s="101"/>
      <c r="K43" s="101"/>
      <c r="L43" s="101"/>
      <c r="M43" s="101"/>
      <c r="N43" s="102"/>
    </row>
    <row r="44" spans="1:14" ht="15.75" x14ac:dyDescent="0.25">
      <c r="A44" s="23"/>
      <c r="B44" s="103"/>
      <c r="C44" s="104"/>
      <c r="D44" s="104"/>
      <c r="E44" s="104"/>
      <c r="F44" s="104"/>
      <c r="G44" s="104"/>
      <c r="H44" s="104"/>
      <c r="I44" s="104"/>
      <c r="J44" s="104"/>
      <c r="K44" s="104"/>
      <c r="L44" s="104"/>
      <c r="M44" s="104"/>
      <c r="N44" s="105"/>
    </row>
    <row r="45" spans="1:14" ht="15.75" x14ac:dyDescent="0.25">
      <c r="A45" s="23"/>
      <c r="B45" s="103"/>
      <c r="C45" s="104"/>
      <c r="D45" s="104"/>
      <c r="E45" s="104"/>
      <c r="F45" s="104"/>
      <c r="G45" s="104"/>
      <c r="H45" s="104"/>
      <c r="I45" s="104"/>
      <c r="J45" s="104"/>
      <c r="K45" s="104"/>
      <c r="L45" s="104"/>
      <c r="M45" s="104"/>
      <c r="N45" s="105"/>
    </row>
    <row r="46" spans="1:14" ht="15.75" x14ac:dyDescent="0.25">
      <c r="A46" s="23"/>
      <c r="B46" s="103"/>
      <c r="C46" s="104"/>
      <c r="D46" s="104"/>
      <c r="E46" s="104"/>
      <c r="F46" s="104"/>
      <c r="G46" s="104"/>
      <c r="H46" s="104"/>
      <c r="I46" s="104"/>
      <c r="J46" s="104"/>
      <c r="K46" s="104"/>
      <c r="L46" s="104"/>
      <c r="M46" s="104"/>
      <c r="N46" s="105"/>
    </row>
    <row r="47" spans="1:14" ht="15.75" x14ac:dyDescent="0.25">
      <c r="A47" s="23"/>
      <c r="B47" s="103"/>
      <c r="C47" s="104"/>
      <c r="D47" s="104"/>
      <c r="E47" s="104"/>
      <c r="F47" s="104"/>
      <c r="G47" s="104"/>
      <c r="H47" s="104"/>
      <c r="I47" s="104"/>
      <c r="J47" s="104"/>
      <c r="K47" s="104"/>
      <c r="L47" s="104"/>
      <c r="M47" s="104"/>
      <c r="N47" s="105"/>
    </row>
    <row r="48" spans="1:14" ht="15.75" x14ac:dyDescent="0.25">
      <c r="A48" s="23"/>
      <c r="B48" s="103"/>
      <c r="C48" s="104"/>
      <c r="D48" s="104"/>
      <c r="E48" s="104"/>
      <c r="F48" s="104"/>
      <c r="G48" s="104"/>
      <c r="H48" s="104"/>
      <c r="I48" s="104"/>
      <c r="J48" s="104"/>
      <c r="K48" s="104"/>
      <c r="L48" s="104"/>
      <c r="M48" s="104"/>
      <c r="N48" s="105"/>
    </row>
    <row r="49" spans="1:14" ht="15.75" x14ac:dyDescent="0.25">
      <c r="A49" s="23"/>
      <c r="B49" s="106"/>
      <c r="C49" s="107"/>
      <c r="D49" s="107"/>
      <c r="E49" s="107"/>
      <c r="F49" s="107"/>
      <c r="G49" s="107"/>
      <c r="H49" s="107"/>
      <c r="I49" s="107"/>
      <c r="J49" s="107"/>
      <c r="K49" s="107"/>
      <c r="L49" s="107"/>
      <c r="M49" s="107"/>
      <c r="N49" s="108"/>
    </row>
    <row r="50" spans="1:14" ht="15.75" x14ac:dyDescent="0.25">
      <c r="A50" s="23"/>
      <c r="B50" s="23"/>
      <c r="C50" s="23"/>
      <c r="D50" s="23"/>
      <c r="E50" s="23"/>
      <c r="F50" s="23"/>
      <c r="G50" s="23"/>
      <c r="H50" s="23"/>
      <c r="I50" s="23"/>
      <c r="J50" s="77"/>
      <c r="K50" s="23"/>
      <c r="L50" s="78"/>
      <c r="M50" s="23"/>
      <c r="N50" s="23"/>
    </row>
    <row r="51" spans="1:14" ht="15.75" x14ac:dyDescent="0.25">
      <c r="A51" s="23"/>
      <c r="B51" s="23"/>
      <c r="C51" s="23"/>
      <c r="D51" s="23"/>
      <c r="E51" s="23"/>
      <c r="F51" s="23"/>
      <c r="G51" s="23"/>
      <c r="H51" s="23"/>
      <c r="I51" s="23"/>
      <c r="J51" s="77"/>
      <c r="K51" s="23"/>
      <c r="L51" s="78"/>
      <c r="M51" s="23"/>
      <c r="N51" s="23"/>
    </row>
  </sheetData>
  <mergeCells count="44">
    <mergeCell ref="B43:N49"/>
    <mergeCell ref="B39:G39"/>
    <mergeCell ref="J39:M39"/>
    <mergeCell ref="B40:G40"/>
    <mergeCell ref="J40:M40"/>
    <mergeCell ref="J41:M41"/>
    <mergeCell ref="B36:G36"/>
    <mergeCell ref="J36:M36"/>
    <mergeCell ref="B37:G37"/>
    <mergeCell ref="J37:M37"/>
    <mergeCell ref="B38:G38"/>
    <mergeCell ref="J38:M38"/>
    <mergeCell ref="C32:D32"/>
    <mergeCell ref="E32:F32"/>
    <mergeCell ref="J32:M32"/>
    <mergeCell ref="B35:G35"/>
    <mergeCell ref="J35:N35"/>
    <mergeCell ref="C30:D30"/>
    <mergeCell ref="E30:F30"/>
    <mergeCell ref="J30:M30"/>
    <mergeCell ref="C31:D31"/>
    <mergeCell ref="E31:F31"/>
    <mergeCell ref="J31:M31"/>
    <mergeCell ref="B1:N1"/>
    <mergeCell ref="B2:N2"/>
    <mergeCell ref="B5:C5"/>
    <mergeCell ref="D5:G5"/>
    <mergeCell ref="K5:L5"/>
    <mergeCell ref="M5:N5"/>
    <mergeCell ref="B6:C6"/>
    <mergeCell ref="D6:G6"/>
    <mergeCell ref="K6:L6"/>
    <mergeCell ref="M6:N6"/>
    <mergeCell ref="C29:D29"/>
    <mergeCell ref="E29:F29"/>
    <mergeCell ref="M8:N8"/>
    <mergeCell ref="B27:G27"/>
    <mergeCell ref="J27:N27"/>
    <mergeCell ref="C28:D28"/>
    <mergeCell ref="E28:F28"/>
    <mergeCell ref="J28:M28"/>
    <mergeCell ref="B8:G8"/>
    <mergeCell ref="I8:L8"/>
    <mergeCell ref="J29:M29"/>
  </mergeCells>
  <pageMargins left="0.7" right="0.7" top="0.75" bottom="0.75" header="0.3" footer="0.3"/>
  <pageSetup scale="6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SILVER</vt:lpstr>
      <vt:lpstr>PLATINUM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2026-06-01T18:27:04Z</cp:lastPrinted>
  <dcterms:created xsi:type="dcterms:W3CDTF">2010-01-16T14:52:12Z</dcterms:created>
  <dcterms:modified xsi:type="dcterms:W3CDTF">2026-07-01T18:47:37Z</dcterms:modified>
</cp:coreProperties>
</file>